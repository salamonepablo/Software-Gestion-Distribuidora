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bitingenieria.com.ar\feafip\Ejemplos\Excel\"/>
    </mc:Choice>
  </mc:AlternateContent>
  <bookViews>
    <workbookView xWindow="0" yWindow="0" windowWidth="20490" windowHeight="7755"/>
  </bookViews>
  <sheets>
    <sheet name="Factura" sheetId="3" r:id="rId1"/>
  </sheets>
  <functionGroups builtInGroupCount="18"/>
  <definedNames>
    <definedName name="_xlnm.Print_Area" localSheetId="0">Factura!$A$1:$F$43</definedName>
    <definedName name="valuevx">42.314159</definedName>
  </definedNames>
  <calcPr calcId="152511"/>
</workbook>
</file>

<file path=xl/calcChain.xml><?xml version="1.0" encoding="utf-8"?>
<calcChain xmlns="http://schemas.openxmlformats.org/spreadsheetml/2006/main">
  <c r="F15" i="3" l="1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 l="1"/>
  <c r="F4" i="3"/>
  <c r="F35" i="3" l="1"/>
  <c r="F33" i="3"/>
</calcChain>
</file>

<file path=xl/sharedStrings.xml><?xml version="1.0" encoding="utf-8"?>
<sst xmlns="http://schemas.openxmlformats.org/spreadsheetml/2006/main" count="34" uniqueCount="34">
  <si>
    <t>[42]</t>
  </si>
  <si>
    <t>Subtotal</t>
  </si>
  <si>
    <t>TOTAL</t>
  </si>
  <si>
    <t>Italia, 945</t>
  </si>
  <si>
    <t>Buenos Aires, CP 1712</t>
  </si>
  <si>
    <t>Teléfono: +54(11) 2092-3168</t>
  </si>
  <si>
    <t>Cel: +54(911) 6937-5707</t>
  </si>
  <si>
    <t>www.bitingenieria.com.ar</t>
  </si>
  <si>
    <t>FACTURA</t>
  </si>
  <si>
    <t>FECHA</t>
  </si>
  <si>
    <t>NRO</t>
  </si>
  <si>
    <t>CLIENTE</t>
  </si>
  <si>
    <t>Buenos Aires</t>
  </si>
  <si>
    <t>ITALIA 945, CASTELAR</t>
  </si>
  <si>
    <t>DESCRIPCION</t>
  </si>
  <si>
    <t>CANTIDAD</t>
  </si>
  <si>
    <t>PRECIO</t>
  </si>
  <si>
    <t>IVA</t>
  </si>
  <si>
    <t>IVA %</t>
  </si>
  <si>
    <t>IVA Responsable Inscripto</t>
  </si>
  <si>
    <t>Ingeniería</t>
  </si>
  <si>
    <t>Comentarios</t>
  </si>
  <si>
    <t>Mouse Inalambrico</t>
  </si>
  <si>
    <t>MONTO</t>
  </si>
  <si>
    <t>← 2) Obtener CAE y general con el mismo el comprobante en PDF</t>
  </si>
  <si>
    <t>Teclado Inalambrico</t>
  </si>
  <si>
    <t>ROSSELLI MENDEZ KAREN</t>
  </si>
  <si>
    <t>CUIT</t>
  </si>
  <si>
    <t>20-93980259-3</t>
  </si>
  <si>
    <t>VTO: 20180101</t>
  </si>
  <si>
    <t>B</t>
  </si>
  <si>
    <t>0230-00000092</t>
  </si>
  <si>
    <t>CAE: 67513628923922</t>
  </si>
  <si>
    <t>← 2) No modificar este valor. Se obtiene de AFIP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</si>
</sst>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_(* #,##0.00_);_(* \(#,##0.00\);_(* &quot;-&quot;??_);_(@_)"/>
  </numFmts>
  <fonts count="24" x14ac:knownFonts="1">
    <font>
      <sz val="10"/>
      <name val="Trebuchet MS"/>
      <family val="2"/>
    </font>
    <font>
      <sz val="10"/>
      <name val="Verdana"/>
      <family val="2"/>
    </font>
    <font>
      <sz val="8"/>
      <name val="Trebuchet MS"/>
      <family val="2"/>
    </font>
    <font>
      <b/>
      <sz val="11"/>
      <color indexed="9"/>
      <name val="Arial"/>
      <family val="2"/>
      <scheme val="major"/>
    </font>
    <font>
      <b/>
      <sz val="10"/>
      <color indexed="9"/>
      <name val="Arial"/>
      <family val="2"/>
      <scheme val="major"/>
    </font>
    <font>
      <sz val="10"/>
      <name val="Trebuchet MS"/>
      <family val="2"/>
      <scheme val="minor"/>
    </font>
    <font>
      <sz val="8"/>
      <name val="Trebuchet MS"/>
      <family val="2"/>
      <scheme val="minor"/>
    </font>
    <font>
      <b/>
      <sz val="10"/>
      <name val="Trebuchet MS"/>
      <family val="2"/>
      <scheme val="minor"/>
    </font>
    <font>
      <u/>
      <sz val="10"/>
      <color indexed="12"/>
      <name val="Trebuchet MS"/>
      <family val="2"/>
      <scheme val="minor"/>
    </font>
    <font>
      <b/>
      <sz val="11"/>
      <name val="Trebuchet MS"/>
      <family val="2"/>
      <scheme val="minor"/>
    </font>
    <font>
      <b/>
      <i/>
      <sz val="12"/>
      <name val="Trebuchet MS"/>
      <family val="2"/>
      <scheme val="minor"/>
    </font>
    <font>
      <sz val="1"/>
      <color indexed="9"/>
      <name val="Trebuchet MS"/>
      <family val="2"/>
      <scheme val="minor"/>
    </font>
    <font>
      <sz val="11"/>
      <color theme="3"/>
      <name val="Arial"/>
      <family val="2"/>
    </font>
    <font>
      <sz val="10"/>
      <color theme="3"/>
      <name val="Trebuchet MS"/>
      <family val="2"/>
      <scheme val="minor"/>
    </font>
    <font>
      <b/>
      <sz val="28"/>
      <color theme="4" tint="0.39997558519241921"/>
      <name val="Arial"/>
      <family val="2"/>
      <scheme val="major"/>
    </font>
    <font>
      <sz val="24"/>
      <color theme="4" tint="-0.249977111117893"/>
      <name val="Arial"/>
      <family val="2"/>
    </font>
    <font>
      <sz val="10"/>
      <color theme="4"/>
      <name val="Trebuchet MS"/>
      <family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sz val="10"/>
      <color theme="3"/>
      <name val="Trebuchet MS"/>
      <family val="2"/>
    </font>
    <font>
      <sz val="10"/>
      <color rgb="FF000000"/>
      <name val="Trebuchet MS"/>
      <family val="2"/>
    </font>
    <font>
      <sz val="68"/>
      <color theme="4" tint="-0.249977111117893"/>
      <name val="Arial"/>
      <family val="2"/>
    </font>
    <font>
      <u/>
      <sz val="10"/>
      <name val="Trebuchet MS"/>
      <family val="2"/>
    </font>
    <font>
      <sz val="10"/>
      <color theme="0"/>
      <name val="Trebuchet MS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0" tint="-0.34998626667073579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0" tint="-0.34998626667073579"/>
      </right>
      <top style="thin">
        <color theme="4"/>
      </top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</cellStyleXfs>
  <cellXfs count="67">
    <xf numFmtId="0" fontId="0" fillId="0" borderId="0" xfId="0"/>
    <xf numFmtId="0" fontId="0" fillId="0" borderId="0" xfId="0" applyFont="1"/>
    <xf numFmtId="0" fontId="0" fillId="0" borderId="4" xfId="0" applyFont="1" applyBorder="1" applyAlignment="1" applyProtection="1">
      <alignment horizontal="center"/>
      <protection locked="0"/>
    </xf>
    <xf numFmtId="0" fontId="12" fillId="0" borderId="0" xfId="0" applyFont="1"/>
    <xf numFmtId="0" fontId="13" fillId="0" borderId="0" xfId="0" applyFont="1" applyProtection="1"/>
    <xf numFmtId="0" fontId="0" fillId="0" borderId="0" xfId="0" applyFont="1" applyAlignment="1" applyProtection="1">
      <alignment horizontal="left" indent="1"/>
      <protection locked="0"/>
    </xf>
    <xf numFmtId="0" fontId="0" fillId="0" borderId="0" xfId="0" applyFont="1" applyAlignment="1">
      <alignment horizontal="left" indent="1"/>
    </xf>
    <xf numFmtId="0" fontId="0" fillId="0" borderId="3" xfId="0" applyFont="1" applyBorder="1" applyAlignment="1">
      <alignment horizontal="left" indent="1"/>
    </xf>
    <xf numFmtId="0" fontId="11" fillId="0" borderId="3" xfId="0" applyFont="1" applyBorder="1" applyAlignment="1">
      <alignment horizontal="left" indent="1"/>
    </xf>
    <xf numFmtId="0" fontId="0" fillId="0" borderId="0" xfId="0" applyFont="1" applyBorder="1" applyAlignment="1">
      <alignment horizontal="left" indent="1"/>
    </xf>
    <xf numFmtId="0" fontId="5" fillId="0" borderId="0" xfId="0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0" fontId="3" fillId="2" borderId="0" xfId="0" applyFont="1" applyFill="1" applyBorder="1" applyAlignment="1">
      <alignment horizontal="left" indent="1"/>
    </xf>
    <xf numFmtId="0" fontId="5" fillId="0" borderId="1" xfId="0" applyFont="1" applyBorder="1" applyAlignment="1">
      <alignment horizontal="left"/>
    </xf>
    <xf numFmtId="0" fontId="9" fillId="0" borderId="0" xfId="0" applyFont="1" applyAlignment="1">
      <alignment horizontal="left"/>
    </xf>
    <xf numFmtId="164" fontId="7" fillId="3" borderId="0" xfId="0" applyNumberFormat="1" applyFont="1" applyFill="1"/>
    <xf numFmtId="14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16" fillId="0" borderId="0" xfId="0" applyFont="1"/>
    <xf numFmtId="0" fontId="17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/>
    <xf numFmtId="0" fontId="8" fillId="0" borderId="0" xfId="2" applyAlignment="1" applyProtection="1">
      <alignment horizontal="left" indent="1"/>
      <protection locked="0"/>
    </xf>
    <xf numFmtId="0" fontId="15" fillId="0" borderId="0" xfId="0" applyFont="1" applyAlignment="1" applyProtection="1">
      <alignment horizontal="left" vertical="center" indent="4"/>
      <protection locked="0"/>
    </xf>
    <xf numFmtId="0" fontId="3" fillId="2" borderId="8" xfId="0" applyFont="1" applyFill="1" applyBorder="1" applyAlignment="1">
      <alignment horizontal="left" indent="1"/>
    </xf>
    <xf numFmtId="0" fontId="3" fillId="2" borderId="5" xfId="0" applyFont="1" applyFill="1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0" xfId="0" applyBorder="1" applyAlignment="1"/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22" fillId="0" borderId="0" xfId="0" applyFont="1" applyAlignment="1">
      <alignment horizontal="left" indent="1"/>
    </xf>
    <xf numFmtId="165" fontId="5" fillId="0" borderId="1" xfId="0" applyNumberFormat="1" applyFont="1" applyFill="1" applyBorder="1" applyProtection="1">
      <protection locked="0"/>
    </xf>
    <xf numFmtId="165" fontId="0" fillId="0" borderId="4" xfId="1" applyNumberFormat="1" applyFont="1" applyBorder="1" applyProtection="1"/>
    <xf numFmtId="0" fontId="0" fillId="0" borderId="0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21" fillId="0" borderId="20" xfId="0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vertical="top"/>
      <protection locked="0"/>
    </xf>
    <xf numFmtId="0" fontId="23" fillId="0" borderId="3" xfId="0" applyFont="1" applyBorder="1" applyAlignment="1">
      <alignment horizontal="left"/>
    </xf>
    <xf numFmtId="165" fontId="23" fillId="0" borderId="3" xfId="0" applyNumberFormat="1" applyFont="1" applyFill="1" applyBorder="1"/>
    <xf numFmtId="0" fontId="23" fillId="0" borderId="0" xfId="0" applyFont="1" applyAlignment="1">
      <alignment horizontal="left"/>
    </xf>
    <xf numFmtId="9" fontId="23" fillId="0" borderId="0" xfId="0" applyNumberFormat="1" applyFont="1" applyBorder="1" applyProtection="1">
      <protection locked="0"/>
    </xf>
    <xf numFmtId="165" fontId="23" fillId="0" borderId="0" xfId="0" applyNumberFormat="1" applyFont="1" applyFill="1"/>
    <xf numFmtId="0" fontId="6" fillId="0" borderId="0" xfId="1" applyNumberFormat="1" applyFont="1" applyFill="1" applyBorder="1" applyAlignment="1"/>
    <xf numFmtId="0" fontId="10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Alignment="1">
      <alignment horizontal="center" vertical="top"/>
    </xf>
    <xf numFmtId="0" fontId="7" fillId="0" borderId="0" xfId="0" applyFont="1" applyAlignment="1" applyProtection="1">
      <alignment horizontal="center" vertical="top"/>
      <protection locked="0"/>
    </xf>
    <xf numFmtId="0" fontId="16" fillId="0" borderId="17" xfId="0" applyFont="1" applyBorder="1" applyAlignment="1"/>
    <xf numFmtId="0" fontId="0" fillId="0" borderId="18" xfId="0" applyBorder="1" applyAlignment="1"/>
    <xf numFmtId="0" fontId="0" fillId="0" borderId="19" xfId="0" applyBorder="1" applyAlignment="1"/>
    <xf numFmtId="0" fontId="14" fillId="0" borderId="0" xfId="0" applyFont="1" applyAlignment="1">
      <alignment horizontal="right"/>
    </xf>
    <xf numFmtId="0" fontId="0" fillId="0" borderId="0" xfId="0" applyFont="1" applyBorder="1" applyAlignment="1" applyProtection="1">
      <alignment horizontal="left" vertical="top" indent="1"/>
      <protection locked="0"/>
    </xf>
    <xf numFmtId="0" fontId="4" fillId="2" borderId="8" xfId="0" applyFont="1" applyFill="1" applyBorder="1" applyAlignment="1">
      <alignment horizontal="left" indent="1"/>
    </xf>
    <xf numFmtId="0" fontId="4" fillId="2" borderId="9" xfId="0" applyFont="1" applyFill="1" applyBorder="1" applyAlignment="1">
      <alignment horizontal="left" indent="1"/>
    </xf>
    <xf numFmtId="0" fontId="4" fillId="2" borderId="10" xfId="0" applyFont="1" applyFill="1" applyBorder="1" applyAlignment="1">
      <alignment horizontal="left" indent="1"/>
    </xf>
    <xf numFmtId="0" fontId="0" fillId="0" borderId="21" xfId="0" applyFont="1" applyBorder="1" applyAlignment="1" applyProtection="1">
      <alignment horizontal="left" vertical="top" indent="1"/>
      <protection locked="0"/>
    </xf>
    <xf numFmtId="0" fontId="0" fillId="0" borderId="22" xfId="0" applyFont="1" applyBorder="1" applyAlignment="1" applyProtection="1">
      <alignment horizontal="left" vertical="top" indent="1"/>
      <protection locked="0"/>
    </xf>
    <xf numFmtId="0" fontId="0" fillId="0" borderId="23" xfId="0" applyFont="1" applyBorder="1" applyAlignment="1" applyProtection="1">
      <alignment horizontal="left" vertical="top" indent="1"/>
      <protection locked="0"/>
    </xf>
    <xf numFmtId="0" fontId="0" fillId="0" borderId="12" xfId="0" applyFont="1" applyBorder="1" applyAlignment="1" applyProtection="1">
      <alignment horizontal="left" vertical="top" indent="1"/>
      <protection locked="0"/>
    </xf>
    <xf numFmtId="0" fontId="0" fillId="0" borderId="13" xfId="0" applyFont="1" applyBorder="1" applyAlignment="1" applyProtection="1">
      <alignment horizontal="left" vertical="top" indent="1"/>
      <protection locked="0"/>
    </xf>
    <xf numFmtId="0" fontId="0" fillId="0" borderId="14" xfId="0" applyFont="1" applyBorder="1" applyAlignment="1" applyProtection="1">
      <alignment horizontal="left" vertical="top" indent="1"/>
      <protection locked="0"/>
    </xf>
    <xf numFmtId="0" fontId="0" fillId="0" borderId="15" xfId="0" applyFont="1" applyBorder="1" applyAlignment="1" applyProtection="1">
      <alignment horizontal="left" vertical="top" indent="1"/>
      <protection locked="0"/>
    </xf>
    <xf numFmtId="0" fontId="0" fillId="0" borderId="16" xfId="0" applyFont="1" applyBorder="1" applyAlignment="1" applyProtection="1">
      <alignment horizontal="left" vertical="top" indent="1"/>
      <protection locked="0"/>
    </xf>
    <xf numFmtId="0" fontId="0" fillId="0" borderId="2" xfId="0" applyFont="1" applyBorder="1" applyAlignment="1" applyProtection="1">
      <alignment horizontal="left" indent="1"/>
      <protection locked="0"/>
    </xf>
    <xf numFmtId="0" fontId="0" fillId="0" borderId="0" xfId="0" applyFont="1" applyBorder="1" applyAlignment="1" applyProtection="1">
      <alignment horizontal="left" indent="1"/>
      <protection locked="0"/>
    </xf>
  </cellXfs>
  <cellStyles count="3">
    <cellStyle name="Comma" xfId="1" builtinId="3"/>
    <cellStyle name="Hyperlink" xfId="2" builtinId="8" customBuiltin="1"/>
    <cellStyle name="Normal" xfId="0" builtinId="0" customBuiltin="1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183361</xdr:rowOff>
    </xdr:from>
    <xdr:to>
      <xdr:col>0</xdr:col>
      <xdr:colOff>504762</xdr:colOff>
      <xdr:row>0</xdr:row>
      <xdr:rowOff>619124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3361"/>
          <a:ext cx="504762" cy="4357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5</xdr:row>
          <xdr:rowOff>19050</xdr:rowOff>
        </xdr:from>
        <xdr:to>
          <xdr:col>7</xdr:col>
          <xdr:colOff>1219200</xdr:colOff>
          <xdr:row>7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AR" sz="1000" b="0" i="0" u="none" strike="noStrike" baseline="0">
                  <a:solidFill>
                    <a:srgbClr val="000000"/>
                  </a:solidFill>
                  <a:latin typeface="Trebuchet MS"/>
                </a:rPr>
                <a:t>Generar Factura Electrónica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38</xdr:row>
      <xdr:rowOff>196850</xdr:rowOff>
    </xdr:from>
    <xdr:to>
      <xdr:col>0</xdr:col>
      <xdr:colOff>135467</xdr:colOff>
      <xdr:row>40</xdr:row>
      <xdr:rowOff>187325</xdr:rowOff>
    </xdr:to>
    <xdr:sp macro="" textlink="">
      <xdr:nvSpPr>
        <xdr:cNvPr id="3866" name="3865 Rectángulo"/>
        <xdr:cNvSpPr/>
      </xdr:nvSpPr>
      <xdr:spPr>
        <a:xfrm>
          <a:off x="127000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143933</xdr:colOff>
      <xdr:row>38</xdr:row>
      <xdr:rowOff>196850</xdr:rowOff>
    </xdr:from>
    <xdr:to>
      <xdr:col>0</xdr:col>
      <xdr:colOff>152400</xdr:colOff>
      <xdr:row>40</xdr:row>
      <xdr:rowOff>187325</xdr:rowOff>
    </xdr:to>
    <xdr:sp macro="" textlink="">
      <xdr:nvSpPr>
        <xdr:cNvPr id="3867" name="3866 Rectángulo"/>
        <xdr:cNvSpPr/>
      </xdr:nvSpPr>
      <xdr:spPr>
        <a:xfrm>
          <a:off x="1439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160867</xdr:colOff>
      <xdr:row>38</xdr:row>
      <xdr:rowOff>196850</xdr:rowOff>
    </xdr:from>
    <xdr:to>
      <xdr:col>0</xdr:col>
      <xdr:colOff>169333</xdr:colOff>
      <xdr:row>40</xdr:row>
      <xdr:rowOff>187325</xdr:rowOff>
    </xdr:to>
    <xdr:sp macro="" textlink="">
      <xdr:nvSpPr>
        <xdr:cNvPr id="3868" name="3867 Rectángulo"/>
        <xdr:cNvSpPr/>
      </xdr:nvSpPr>
      <xdr:spPr>
        <a:xfrm>
          <a:off x="1608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177800</xdr:colOff>
      <xdr:row>38</xdr:row>
      <xdr:rowOff>196850</xdr:rowOff>
    </xdr:from>
    <xdr:to>
      <xdr:col>0</xdr:col>
      <xdr:colOff>203200</xdr:colOff>
      <xdr:row>40</xdr:row>
      <xdr:rowOff>187325</xdr:rowOff>
    </xdr:to>
    <xdr:sp macro="" textlink="">
      <xdr:nvSpPr>
        <xdr:cNvPr id="3869" name="3868 Rectángulo"/>
        <xdr:cNvSpPr/>
      </xdr:nvSpPr>
      <xdr:spPr>
        <a:xfrm>
          <a:off x="177800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211667</xdr:colOff>
      <xdr:row>38</xdr:row>
      <xdr:rowOff>196850</xdr:rowOff>
    </xdr:from>
    <xdr:to>
      <xdr:col>0</xdr:col>
      <xdr:colOff>220133</xdr:colOff>
      <xdr:row>40</xdr:row>
      <xdr:rowOff>187325</xdr:rowOff>
    </xdr:to>
    <xdr:sp macro="" textlink="">
      <xdr:nvSpPr>
        <xdr:cNvPr id="3870" name="3869 Rectángulo"/>
        <xdr:cNvSpPr/>
      </xdr:nvSpPr>
      <xdr:spPr>
        <a:xfrm>
          <a:off x="2116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245533</xdr:colOff>
      <xdr:row>38</xdr:row>
      <xdr:rowOff>196850</xdr:rowOff>
    </xdr:from>
    <xdr:to>
      <xdr:col>0</xdr:col>
      <xdr:colOff>254000</xdr:colOff>
      <xdr:row>40</xdr:row>
      <xdr:rowOff>187325</xdr:rowOff>
    </xdr:to>
    <xdr:sp macro="" textlink="">
      <xdr:nvSpPr>
        <xdr:cNvPr id="3871" name="3870 Rectángulo"/>
        <xdr:cNvSpPr/>
      </xdr:nvSpPr>
      <xdr:spPr>
        <a:xfrm>
          <a:off x="2455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279400</xdr:colOff>
      <xdr:row>38</xdr:row>
      <xdr:rowOff>196850</xdr:rowOff>
    </xdr:from>
    <xdr:to>
      <xdr:col>0</xdr:col>
      <xdr:colOff>304800</xdr:colOff>
      <xdr:row>40</xdr:row>
      <xdr:rowOff>187325</xdr:rowOff>
    </xdr:to>
    <xdr:sp macro="" textlink="">
      <xdr:nvSpPr>
        <xdr:cNvPr id="3872" name="3871 Rectángulo"/>
        <xdr:cNvSpPr/>
      </xdr:nvSpPr>
      <xdr:spPr>
        <a:xfrm>
          <a:off x="279400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313267</xdr:colOff>
      <xdr:row>38</xdr:row>
      <xdr:rowOff>196850</xdr:rowOff>
    </xdr:from>
    <xdr:to>
      <xdr:col>0</xdr:col>
      <xdr:colOff>321733</xdr:colOff>
      <xdr:row>40</xdr:row>
      <xdr:rowOff>187325</xdr:rowOff>
    </xdr:to>
    <xdr:sp macro="" textlink="">
      <xdr:nvSpPr>
        <xdr:cNvPr id="3873" name="3872 Rectángulo"/>
        <xdr:cNvSpPr/>
      </xdr:nvSpPr>
      <xdr:spPr>
        <a:xfrm>
          <a:off x="3132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347133</xdr:colOff>
      <xdr:row>38</xdr:row>
      <xdr:rowOff>196850</xdr:rowOff>
    </xdr:from>
    <xdr:to>
      <xdr:col>0</xdr:col>
      <xdr:colOff>372533</xdr:colOff>
      <xdr:row>40</xdr:row>
      <xdr:rowOff>187325</xdr:rowOff>
    </xdr:to>
    <xdr:sp macro="" textlink="">
      <xdr:nvSpPr>
        <xdr:cNvPr id="3874" name="3873 Rectángulo"/>
        <xdr:cNvSpPr/>
      </xdr:nvSpPr>
      <xdr:spPr>
        <a:xfrm>
          <a:off x="347133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397933</xdr:colOff>
      <xdr:row>38</xdr:row>
      <xdr:rowOff>196850</xdr:rowOff>
    </xdr:from>
    <xdr:to>
      <xdr:col>0</xdr:col>
      <xdr:colOff>406400</xdr:colOff>
      <xdr:row>40</xdr:row>
      <xdr:rowOff>187325</xdr:rowOff>
    </xdr:to>
    <xdr:sp macro="" textlink="">
      <xdr:nvSpPr>
        <xdr:cNvPr id="3875" name="3874 Rectángulo"/>
        <xdr:cNvSpPr/>
      </xdr:nvSpPr>
      <xdr:spPr>
        <a:xfrm>
          <a:off x="3979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414867</xdr:colOff>
      <xdr:row>38</xdr:row>
      <xdr:rowOff>196850</xdr:rowOff>
    </xdr:from>
    <xdr:to>
      <xdr:col>0</xdr:col>
      <xdr:colOff>440267</xdr:colOff>
      <xdr:row>40</xdr:row>
      <xdr:rowOff>187325</xdr:rowOff>
    </xdr:to>
    <xdr:sp macro="" textlink="">
      <xdr:nvSpPr>
        <xdr:cNvPr id="3876" name="3875 Rectángulo"/>
        <xdr:cNvSpPr/>
      </xdr:nvSpPr>
      <xdr:spPr>
        <a:xfrm>
          <a:off x="414867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448733</xdr:colOff>
      <xdr:row>38</xdr:row>
      <xdr:rowOff>196850</xdr:rowOff>
    </xdr:from>
    <xdr:to>
      <xdr:col>0</xdr:col>
      <xdr:colOff>457200</xdr:colOff>
      <xdr:row>40</xdr:row>
      <xdr:rowOff>187325</xdr:rowOff>
    </xdr:to>
    <xdr:sp macro="" textlink="">
      <xdr:nvSpPr>
        <xdr:cNvPr id="3877" name="3876 Rectángulo"/>
        <xdr:cNvSpPr/>
      </xdr:nvSpPr>
      <xdr:spPr>
        <a:xfrm>
          <a:off x="4487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465667</xdr:colOff>
      <xdr:row>38</xdr:row>
      <xdr:rowOff>196850</xdr:rowOff>
    </xdr:from>
    <xdr:to>
      <xdr:col>0</xdr:col>
      <xdr:colOff>474133</xdr:colOff>
      <xdr:row>40</xdr:row>
      <xdr:rowOff>187325</xdr:rowOff>
    </xdr:to>
    <xdr:sp macro="" textlink="">
      <xdr:nvSpPr>
        <xdr:cNvPr id="3878" name="3877 Rectángulo"/>
        <xdr:cNvSpPr/>
      </xdr:nvSpPr>
      <xdr:spPr>
        <a:xfrm>
          <a:off x="4656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499533</xdr:colOff>
      <xdr:row>38</xdr:row>
      <xdr:rowOff>196850</xdr:rowOff>
    </xdr:from>
    <xdr:to>
      <xdr:col>0</xdr:col>
      <xdr:colOff>524933</xdr:colOff>
      <xdr:row>40</xdr:row>
      <xdr:rowOff>187325</xdr:rowOff>
    </xdr:to>
    <xdr:sp macro="" textlink="">
      <xdr:nvSpPr>
        <xdr:cNvPr id="3879" name="3878 Rectángulo"/>
        <xdr:cNvSpPr/>
      </xdr:nvSpPr>
      <xdr:spPr>
        <a:xfrm>
          <a:off x="499533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533400</xdr:colOff>
      <xdr:row>38</xdr:row>
      <xdr:rowOff>196850</xdr:rowOff>
    </xdr:from>
    <xdr:to>
      <xdr:col>0</xdr:col>
      <xdr:colOff>541867</xdr:colOff>
      <xdr:row>40</xdr:row>
      <xdr:rowOff>187325</xdr:rowOff>
    </xdr:to>
    <xdr:sp macro="" textlink="">
      <xdr:nvSpPr>
        <xdr:cNvPr id="3880" name="3879 Rectángulo"/>
        <xdr:cNvSpPr/>
      </xdr:nvSpPr>
      <xdr:spPr>
        <a:xfrm>
          <a:off x="533400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550333</xdr:colOff>
      <xdr:row>38</xdr:row>
      <xdr:rowOff>196850</xdr:rowOff>
    </xdr:from>
    <xdr:to>
      <xdr:col>0</xdr:col>
      <xdr:colOff>575733</xdr:colOff>
      <xdr:row>40</xdr:row>
      <xdr:rowOff>187325</xdr:rowOff>
    </xdr:to>
    <xdr:sp macro="" textlink="">
      <xdr:nvSpPr>
        <xdr:cNvPr id="3881" name="3880 Rectángulo"/>
        <xdr:cNvSpPr/>
      </xdr:nvSpPr>
      <xdr:spPr>
        <a:xfrm>
          <a:off x="550333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601133</xdr:colOff>
      <xdr:row>38</xdr:row>
      <xdr:rowOff>196850</xdr:rowOff>
    </xdr:from>
    <xdr:to>
      <xdr:col>0</xdr:col>
      <xdr:colOff>609600</xdr:colOff>
      <xdr:row>40</xdr:row>
      <xdr:rowOff>187325</xdr:rowOff>
    </xdr:to>
    <xdr:sp macro="" textlink="">
      <xdr:nvSpPr>
        <xdr:cNvPr id="3882" name="3881 Rectángulo"/>
        <xdr:cNvSpPr/>
      </xdr:nvSpPr>
      <xdr:spPr>
        <a:xfrm>
          <a:off x="6011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618067</xdr:colOff>
      <xdr:row>38</xdr:row>
      <xdr:rowOff>196850</xdr:rowOff>
    </xdr:from>
    <xdr:to>
      <xdr:col>0</xdr:col>
      <xdr:colOff>626533</xdr:colOff>
      <xdr:row>40</xdr:row>
      <xdr:rowOff>187325</xdr:rowOff>
    </xdr:to>
    <xdr:sp macro="" textlink="">
      <xdr:nvSpPr>
        <xdr:cNvPr id="3883" name="3882 Rectángulo"/>
        <xdr:cNvSpPr/>
      </xdr:nvSpPr>
      <xdr:spPr>
        <a:xfrm>
          <a:off x="6180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635000</xdr:colOff>
      <xdr:row>38</xdr:row>
      <xdr:rowOff>196850</xdr:rowOff>
    </xdr:from>
    <xdr:to>
      <xdr:col>0</xdr:col>
      <xdr:colOff>643467</xdr:colOff>
      <xdr:row>40</xdr:row>
      <xdr:rowOff>187325</xdr:rowOff>
    </xdr:to>
    <xdr:sp macro="" textlink="">
      <xdr:nvSpPr>
        <xdr:cNvPr id="3884" name="3883 Rectángulo"/>
        <xdr:cNvSpPr/>
      </xdr:nvSpPr>
      <xdr:spPr>
        <a:xfrm>
          <a:off x="635000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668867</xdr:colOff>
      <xdr:row>38</xdr:row>
      <xdr:rowOff>196850</xdr:rowOff>
    </xdr:from>
    <xdr:to>
      <xdr:col>0</xdr:col>
      <xdr:colOff>694267</xdr:colOff>
      <xdr:row>40</xdr:row>
      <xdr:rowOff>187325</xdr:rowOff>
    </xdr:to>
    <xdr:sp macro="" textlink="">
      <xdr:nvSpPr>
        <xdr:cNvPr id="3885" name="3884 Rectángulo"/>
        <xdr:cNvSpPr/>
      </xdr:nvSpPr>
      <xdr:spPr>
        <a:xfrm>
          <a:off x="668867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702733</xdr:colOff>
      <xdr:row>38</xdr:row>
      <xdr:rowOff>196850</xdr:rowOff>
    </xdr:from>
    <xdr:to>
      <xdr:col>0</xdr:col>
      <xdr:colOff>728133</xdr:colOff>
      <xdr:row>40</xdr:row>
      <xdr:rowOff>187325</xdr:rowOff>
    </xdr:to>
    <xdr:sp macro="" textlink="">
      <xdr:nvSpPr>
        <xdr:cNvPr id="3886" name="3885 Rectángulo"/>
        <xdr:cNvSpPr/>
      </xdr:nvSpPr>
      <xdr:spPr>
        <a:xfrm>
          <a:off x="702733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736600</xdr:colOff>
      <xdr:row>38</xdr:row>
      <xdr:rowOff>196850</xdr:rowOff>
    </xdr:from>
    <xdr:to>
      <xdr:col>0</xdr:col>
      <xdr:colOff>745067</xdr:colOff>
      <xdr:row>40</xdr:row>
      <xdr:rowOff>187325</xdr:rowOff>
    </xdr:to>
    <xdr:sp macro="" textlink="">
      <xdr:nvSpPr>
        <xdr:cNvPr id="3887" name="3886 Rectángulo"/>
        <xdr:cNvSpPr/>
      </xdr:nvSpPr>
      <xdr:spPr>
        <a:xfrm>
          <a:off x="736600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770467</xdr:colOff>
      <xdr:row>38</xdr:row>
      <xdr:rowOff>196850</xdr:rowOff>
    </xdr:from>
    <xdr:to>
      <xdr:col>0</xdr:col>
      <xdr:colOff>795867</xdr:colOff>
      <xdr:row>40</xdr:row>
      <xdr:rowOff>187325</xdr:rowOff>
    </xdr:to>
    <xdr:sp macro="" textlink="">
      <xdr:nvSpPr>
        <xdr:cNvPr id="3888" name="3887 Rectángulo"/>
        <xdr:cNvSpPr/>
      </xdr:nvSpPr>
      <xdr:spPr>
        <a:xfrm>
          <a:off x="770467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804333</xdr:colOff>
      <xdr:row>38</xdr:row>
      <xdr:rowOff>196850</xdr:rowOff>
    </xdr:from>
    <xdr:to>
      <xdr:col>0</xdr:col>
      <xdr:colOff>812800</xdr:colOff>
      <xdr:row>40</xdr:row>
      <xdr:rowOff>187325</xdr:rowOff>
    </xdr:to>
    <xdr:sp macro="" textlink="">
      <xdr:nvSpPr>
        <xdr:cNvPr id="3889" name="3888 Rectángulo"/>
        <xdr:cNvSpPr/>
      </xdr:nvSpPr>
      <xdr:spPr>
        <a:xfrm>
          <a:off x="8043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838200</xdr:colOff>
      <xdr:row>38</xdr:row>
      <xdr:rowOff>196850</xdr:rowOff>
    </xdr:from>
    <xdr:to>
      <xdr:col>0</xdr:col>
      <xdr:colOff>863600</xdr:colOff>
      <xdr:row>40</xdr:row>
      <xdr:rowOff>187325</xdr:rowOff>
    </xdr:to>
    <xdr:sp macro="" textlink="">
      <xdr:nvSpPr>
        <xdr:cNvPr id="3890" name="3889 Rectángulo"/>
        <xdr:cNvSpPr/>
      </xdr:nvSpPr>
      <xdr:spPr>
        <a:xfrm>
          <a:off x="838200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872067</xdr:colOff>
      <xdr:row>38</xdr:row>
      <xdr:rowOff>196850</xdr:rowOff>
    </xdr:from>
    <xdr:to>
      <xdr:col>0</xdr:col>
      <xdr:colOff>880533</xdr:colOff>
      <xdr:row>40</xdr:row>
      <xdr:rowOff>187325</xdr:rowOff>
    </xdr:to>
    <xdr:sp macro="" textlink="">
      <xdr:nvSpPr>
        <xdr:cNvPr id="3891" name="3890 Rectángulo"/>
        <xdr:cNvSpPr/>
      </xdr:nvSpPr>
      <xdr:spPr>
        <a:xfrm>
          <a:off x="8720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905933</xdr:colOff>
      <xdr:row>38</xdr:row>
      <xdr:rowOff>196850</xdr:rowOff>
    </xdr:from>
    <xdr:to>
      <xdr:col>0</xdr:col>
      <xdr:colOff>914400</xdr:colOff>
      <xdr:row>40</xdr:row>
      <xdr:rowOff>187325</xdr:rowOff>
    </xdr:to>
    <xdr:sp macro="" textlink="">
      <xdr:nvSpPr>
        <xdr:cNvPr id="3892" name="3891 Rectángulo"/>
        <xdr:cNvSpPr/>
      </xdr:nvSpPr>
      <xdr:spPr>
        <a:xfrm>
          <a:off x="9059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922867</xdr:colOff>
      <xdr:row>38</xdr:row>
      <xdr:rowOff>196850</xdr:rowOff>
    </xdr:from>
    <xdr:to>
      <xdr:col>0</xdr:col>
      <xdr:colOff>948267</xdr:colOff>
      <xdr:row>40</xdr:row>
      <xdr:rowOff>187325</xdr:rowOff>
    </xdr:to>
    <xdr:sp macro="" textlink="">
      <xdr:nvSpPr>
        <xdr:cNvPr id="3893" name="3892 Rectángulo"/>
        <xdr:cNvSpPr/>
      </xdr:nvSpPr>
      <xdr:spPr>
        <a:xfrm>
          <a:off x="922867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956733</xdr:colOff>
      <xdr:row>38</xdr:row>
      <xdr:rowOff>196850</xdr:rowOff>
    </xdr:from>
    <xdr:to>
      <xdr:col>0</xdr:col>
      <xdr:colOff>982133</xdr:colOff>
      <xdr:row>40</xdr:row>
      <xdr:rowOff>187325</xdr:rowOff>
    </xdr:to>
    <xdr:sp macro="" textlink="">
      <xdr:nvSpPr>
        <xdr:cNvPr id="3894" name="3893 Rectángulo"/>
        <xdr:cNvSpPr/>
      </xdr:nvSpPr>
      <xdr:spPr>
        <a:xfrm>
          <a:off x="956733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990600</xdr:colOff>
      <xdr:row>38</xdr:row>
      <xdr:rowOff>196850</xdr:rowOff>
    </xdr:from>
    <xdr:to>
      <xdr:col>0</xdr:col>
      <xdr:colOff>999067</xdr:colOff>
      <xdr:row>40</xdr:row>
      <xdr:rowOff>187325</xdr:rowOff>
    </xdr:to>
    <xdr:sp macro="" textlink="">
      <xdr:nvSpPr>
        <xdr:cNvPr id="3895" name="3894 Rectángulo"/>
        <xdr:cNvSpPr/>
      </xdr:nvSpPr>
      <xdr:spPr>
        <a:xfrm>
          <a:off x="990600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1024467</xdr:colOff>
      <xdr:row>38</xdr:row>
      <xdr:rowOff>196850</xdr:rowOff>
    </xdr:from>
    <xdr:to>
      <xdr:col>0</xdr:col>
      <xdr:colOff>1032933</xdr:colOff>
      <xdr:row>40</xdr:row>
      <xdr:rowOff>187325</xdr:rowOff>
    </xdr:to>
    <xdr:sp macro="" textlink="">
      <xdr:nvSpPr>
        <xdr:cNvPr id="3896" name="3895 Rectángulo"/>
        <xdr:cNvSpPr/>
      </xdr:nvSpPr>
      <xdr:spPr>
        <a:xfrm>
          <a:off x="10244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1058333</xdr:colOff>
      <xdr:row>38</xdr:row>
      <xdr:rowOff>196850</xdr:rowOff>
    </xdr:from>
    <xdr:to>
      <xdr:col>0</xdr:col>
      <xdr:colOff>1066800</xdr:colOff>
      <xdr:row>40</xdr:row>
      <xdr:rowOff>187325</xdr:rowOff>
    </xdr:to>
    <xdr:sp macro="" textlink="">
      <xdr:nvSpPr>
        <xdr:cNvPr id="3897" name="3896 Rectángulo"/>
        <xdr:cNvSpPr/>
      </xdr:nvSpPr>
      <xdr:spPr>
        <a:xfrm>
          <a:off x="10583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1075267</xdr:colOff>
      <xdr:row>38</xdr:row>
      <xdr:rowOff>196850</xdr:rowOff>
    </xdr:from>
    <xdr:to>
      <xdr:col>0</xdr:col>
      <xdr:colOff>1083733</xdr:colOff>
      <xdr:row>40</xdr:row>
      <xdr:rowOff>187325</xdr:rowOff>
    </xdr:to>
    <xdr:sp macro="" textlink="">
      <xdr:nvSpPr>
        <xdr:cNvPr id="3898" name="3897 Rectángulo"/>
        <xdr:cNvSpPr/>
      </xdr:nvSpPr>
      <xdr:spPr>
        <a:xfrm>
          <a:off x="10752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1092200</xdr:colOff>
      <xdr:row>38</xdr:row>
      <xdr:rowOff>196850</xdr:rowOff>
    </xdr:from>
    <xdr:to>
      <xdr:col>0</xdr:col>
      <xdr:colOff>1117600</xdr:colOff>
      <xdr:row>40</xdr:row>
      <xdr:rowOff>187325</xdr:rowOff>
    </xdr:to>
    <xdr:sp macro="" textlink="">
      <xdr:nvSpPr>
        <xdr:cNvPr id="3899" name="3898 Rectángulo"/>
        <xdr:cNvSpPr/>
      </xdr:nvSpPr>
      <xdr:spPr>
        <a:xfrm>
          <a:off x="1092200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1126067</xdr:colOff>
      <xdr:row>38</xdr:row>
      <xdr:rowOff>196850</xdr:rowOff>
    </xdr:from>
    <xdr:to>
      <xdr:col>0</xdr:col>
      <xdr:colOff>1151467</xdr:colOff>
      <xdr:row>40</xdr:row>
      <xdr:rowOff>187325</xdr:rowOff>
    </xdr:to>
    <xdr:sp macro="" textlink="">
      <xdr:nvSpPr>
        <xdr:cNvPr id="3900" name="3899 Rectángulo"/>
        <xdr:cNvSpPr/>
      </xdr:nvSpPr>
      <xdr:spPr>
        <a:xfrm>
          <a:off x="1126067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1176867</xdr:colOff>
      <xdr:row>38</xdr:row>
      <xdr:rowOff>196850</xdr:rowOff>
    </xdr:from>
    <xdr:to>
      <xdr:col>0</xdr:col>
      <xdr:colOff>1185333</xdr:colOff>
      <xdr:row>40</xdr:row>
      <xdr:rowOff>187325</xdr:rowOff>
    </xdr:to>
    <xdr:sp macro="" textlink="">
      <xdr:nvSpPr>
        <xdr:cNvPr id="3901" name="3900 Rectángulo"/>
        <xdr:cNvSpPr/>
      </xdr:nvSpPr>
      <xdr:spPr>
        <a:xfrm>
          <a:off x="11768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1210733</xdr:colOff>
      <xdr:row>38</xdr:row>
      <xdr:rowOff>196850</xdr:rowOff>
    </xdr:from>
    <xdr:to>
      <xdr:col>0</xdr:col>
      <xdr:colOff>1219200</xdr:colOff>
      <xdr:row>40</xdr:row>
      <xdr:rowOff>187325</xdr:rowOff>
    </xdr:to>
    <xdr:sp macro="" textlink="">
      <xdr:nvSpPr>
        <xdr:cNvPr id="3902" name="3901 Rectángulo"/>
        <xdr:cNvSpPr/>
      </xdr:nvSpPr>
      <xdr:spPr>
        <a:xfrm>
          <a:off x="12107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1227667</xdr:colOff>
      <xdr:row>38</xdr:row>
      <xdr:rowOff>196850</xdr:rowOff>
    </xdr:from>
    <xdr:to>
      <xdr:col>0</xdr:col>
      <xdr:colOff>1236133</xdr:colOff>
      <xdr:row>40</xdr:row>
      <xdr:rowOff>187325</xdr:rowOff>
    </xdr:to>
    <xdr:sp macro="" textlink="">
      <xdr:nvSpPr>
        <xdr:cNvPr id="3903" name="3902 Rectángulo"/>
        <xdr:cNvSpPr/>
      </xdr:nvSpPr>
      <xdr:spPr>
        <a:xfrm>
          <a:off x="12276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1261533</xdr:colOff>
      <xdr:row>38</xdr:row>
      <xdr:rowOff>196850</xdr:rowOff>
    </xdr:from>
    <xdr:to>
      <xdr:col>0</xdr:col>
      <xdr:colOff>1286933</xdr:colOff>
      <xdr:row>40</xdr:row>
      <xdr:rowOff>187325</xdr:rowOff>
    </xdr:to>
    <xdr:sp macro="" textlink="">
      <xdr:nvSpPr>
        <xdr:cNvPr id="3904" name="3903 Rectángulo"/>
        <xdr:cNvSpPr/>
      </xdr:nvSpPr>
      <xdr:spPr>
        <a:xfrm>
          <a:off x="1261533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1312333</xdr:colOff>
      <xdr:row>38</xdr:row>
      <xdr:rowOff>196850</xdr:rowOff>
    </xdr:from>
    <xdr:to>
      <xdr:col>0</xdr:col>
      <xdr:colOff>1320800</xdr:colOff>
      <xdr:row>40</xdr:row>
      <xdr:rowOff>187325</xdr:rowOff>
    </xdr:to>
    <xdr:sp macro="" textlink="">
      <xdr:nvSpPr>
        <xdr:cNvPr id="3905" name="3904 Rectángulo"/>
        <xdr:cNvSpPr/>
      </xdr:nvSpPr>
      <xdr:spPr>
        <a:xfrm>
          <a:off x="13123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1329267</xdr:colOff>
      <xdr:row>38</xdr:row>
      <xdr:rowOff>196850</xdr:rowOff>
    </xdr:from>
    <xdr:to>
      <xdr:col>0</xdr:col>
      <xdr:colOff>1337733</xdr:colOff>
      <xdr:row>40</xdr:row>
      <xdr:rowOff>187325</xdr:rowOff>
    </xdr:to>
    <xdr:sp macro="" textlink="">
      <xdr:nvSpPr>
        <xdr:cNvPr id="3906" name="3905 Rectángulo"/>
        <xdr:cNvSpPr/>
      </xdr:nvSpPr>
      <xdr:spPr>
        <a:xfrm>
          <a:off x="13292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1346200</xdr:colOff>
      <xdr:row>38</xdr:row>
      <xdr:rowOff>196850</xdr:rowOff>
    </xdr:from>
    <xdr:to>
      <xdr:col>0</xdr:col>
      <xdr:colOff>1371600</xdr:colOff>
      <xdr:row>40</xdr:row>
      <xdr:rowOff>187325</xdr:rowOff>
    </xdr:to>
    <xdr:sp macro="" textlink="">
      <xdr:nvSpPr>
        <xdr:cNvPr id="3907" name="3906 Rectángulo"/>
        <xdr:cNvSpPr/>
      </xdr:nvSpPr>
      <xdr:spPr>
        <a:xfrm>
          <a:off x="1346200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1380067</xdr:colOff>
      <xdr:row>38</xdr:row>
      <xdr:rowOff>196850</xdr:rowOff>
    </xdr:from>
    <xdr:to>
      <xdr:col>0</xdr:col>
      <xdr:colOff>1388533</xdr:colOff>
      <xdr:row>40</xdr:row>
      <xdr:rowOff>187325</xdr:rowOff>
    </xdr:to>
    <xdr:sp macro="" textlink="">
      <xdr:nvSpPr>
        <xdr:cNvPr id="3908" name="3907 Rectángulo"/>
        <xdr:cNvSpPr/>
      </xdr:nvSpPr>
      <xdr:spPr>
        <a:xfrm>
          <a:off x="13800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1397000</xdr:colOff>
      <xdr:row>38</xdr:row>
      <xdr:rowOff>196850</xdr:rowOff>
    </xdr:from>
    <xdr:to>
      <xdr:col>0</xdr:col>
      <xdr:colOff>1405467</xdr:colOff>
      <xdr:row>40</xdr:row>
      <xdr:rowOff>187325</xdr:rowOff>
    </xdr:to>
    <xdr:sp macro="" textlink="">
      <xdr:nvSpPr>
        <xdr:cNvPr id="3909" name="3908 Rectángulo"/>
        <xdr:cNvSpPr/>
      </xdr:nvSpPr>
      <xdr:spPr>
        <a:xfrm>
          <a:off x="1397000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1430867</xdr:colOff>
      <xdr:row>38</xdr:row>
      <xdr:rowOff>196850</xdr:rowOff>
    </xdr:from>
    <xdr:to>
      <xdr:col>0</xdr:col>
      <xdr:colOff>1456267</xdr:colOff>
      <xdr:row>40</xdr:row>
      <xdr:rowOff>187325</xdr:rowOff>
    </xdr:to>
    <xdr:sp macro="" textlink="">
      <xdr:nvSpPr>
        <xdr:cNvPr id="3910" name="3909 Rectángulo"/>
        <xdr:cNvSpPr/>
      </xdr:nvSpPr>
      <xdr:spPr>
        <a:xfrm>
          <a:off x="1430867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1481667</xdr:colOff>
      <xdr:row>38</xdr:row>
      <xdr:rowOff>196850</xdr:rowOff>
    </xdr:from>
    <xdr:to>
      <xdr:col>0</xdr:col>
      <xdr:colOff>1507067</xdr:colOff>
      <xdr:row>40</xdr:row>
      <xdr:rowOff>187325</xdr:rowOff>
    </xdr:to>
    <xdr:sp macro="" textlink="">
      <xdr:nvSpPr>
        <xdr:cNvPr id="3911" name="3910 Rectángulo"/>
        <xdr:cNvSpPr/>
      </xdr:nvSpPr>
      <xdr:spPr>
        <a:xfrm>
          <a:off x="1481667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1515533</xdr:colOff>
      <xdr:row>38</xdr:row>
      <xdr:rowOff>196850</xdr:rowOff>
    </xdr:from>
    <xdr:to>
      <xdr:col>0</xdr:col>
      <xdr:colOff>1524000</xdr:colOff>
      <xdr:row>40</xdr:row>
      <xdr:rowOff>187325</xdr:rowOff>
    </xdr:to>
    <xdr:sp macro="" textlink="">
      <xdr:nvSpPr>
        <xdr:cNvPr id="3912" name="3911 Rectángulo"/>
        <xdr:cNvSpPr/>
      </xdr:nvSpPr>
      <xdr:spPr>
        <a:xfrm>
          <a:off x="15155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1532467</xdr:colOff>
      <xdr:row>38</xdr:row>
      <xdr:rowOff>196850</xdr:rowOff>
    </xdr:from>
    <xdr:to>
      <xdr:col>0</xdr:col>
      <xdr:colOff>1540933</xdr:colOff>
      <xdr:row>40</xdr:row>
      <xdr:rowOff>187325</xdr:rowOff>
    </xdr:to>
    <xdr:sp macro="" textlink="">
      <xdr:nvSpPr>
        <xdr:cNvPr id="3913" name="3912 Rectángulo"/>
        <xdr:cNvSpPr/>
      </xdr:nvSpPr>
      <xdr:spPr>
        <a:xfrm>
          <a:off x="15324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1566333</xdr:colOff>
      <xdr:row>38</xdr:row>
      <xdr:rowOff>196850</xdr:rowOff>
    </xdr:from>
    <xdr:to>
      <xdr:col>0</xdr:col>
      <xdr:colOff>1574800</xdr:colOff>
      <xdr:row>40</xdr:row>
      <xdr:rowOff>187325</xdr:rowOff>
    </xdr:to>
    <xdr:sp macro="" textlink="">
      <xdr:nvSpPr>
        <xdr:cNvPr id="3914" name="3913 Rectángulo"/>
        <xdr:cNvSpPr/>
      </xdr:nvSpPr>
      <xdr:spPr>
        <a:xfrm>
          <a:off x="15663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1583267</xdr:colOff>
      <xdr:row>38</xdr:row>
      <xdr:rowOff>196850</xdr:rowOff>
    </xdr:from>
    <xdr:to>
      <xdr:col>0</xdr:col>
      <xdr:colOff>1591733</xdr:colOff>
      <xdr:row>40</xdr:row>
      <xdr:rowOff>187325</xdr:rowOff>
    </xdr:to>
    <xdr:sp macro="" textlink="">
      <xdr:nvSpPr>
        <xdr:cNvPr id="3915" name="3914 Rectángulo"/>
        <xdr:cNvSpPr/>
      </xdr:nvSpPr>
      <xdr:spPr>
        <a:xfrm>
          <a:off x="15832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1617133</xdr:colOff>
      <xdr:row>38</xdr:row>
      <xdr:rowOff>196850</xdr:rowOff>
    </xdr:from>
    <xdr:to>
      <xdr:col>0</xdr:col>
      <xdr:colOff>1642533</xdr:colOff>
      <xdr:row>40</xdr:row>
      <xdr:rowOff>187325</xdr:rowOff>
    </xdr:to>
    <xdr:sp macro="" textlink="">
      <xdr:nvSpPr>
        <xdr:cNvPr id="3916" name="3915 Rectángulo"/>
        <xdr:cNvSpPr/>
      </xdr:nvSpPr>
      <xdr:spPr>
        <a:xfrm>
          <a:off x="1617133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1651000</xdr:colOff>
      <xdr:row>38</xdr:row>
      <xdr:rowOff>196850</xdr:rowOff>
    </xdr:from>
    <xdr:to>
      <xdr:col>0</xdr:col>
      <xdr:colOff>1676400</xdr:colOff>
      <xdr:row>40</xdr:row>
      <xdr:rowOff>187325</xdr:rowOff>
    </xdr:to>
    <xdr:sp macro="" textlink="">
      <xdr:nvSpPr>
        <xdr:cNvPr id="3917" name="3916 Rectángulo"/>
        <xdr:cNvSpPr/>
      </xdr:nvSpPr>
      <xdr:spPr>
        <a:xfrm>
          <a:off x="1651000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1684867</xdr:colOff>
      <xdr:row>38</xdr:row>
      <xdr:rowOff>196850</xdr:rowOff>
    </xdr:from>
    <xdr:to>
      <xdr:col>0</xdr:col>
      <xdr:colOff>1710267</xdr:colOff>
      <xdr:row>40</xdr:row>
      <xdr:rowOff>187325</xdr:rowOff>
    </xdr:to>
    <xdr:sp macro="" textlink="">
      <xdr:nvSpPr>
        <xdr:cNvPr id="3918" name="3917 Rectángulo"/>
        <xdr:cNvSpPr/>
      </xdr:nvSpPr>
      <xdr:spPr>
        <a:xfrm>
          <a:off x="1684867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1735667</xdr:colOff>
      <xdr:row>38</xdr:row>
      <xdr:rowOff>196850</xdr:rowOff>
    </xdr:from>
    <xdr:to>
      <xdr:col>0</xdr:col>
      <xdr:colOff>1744133</xdr:colOff>
      <xdr:row>40</xdr:row>
      <xdr:rowOff>187325</xdr:rowOff>
    </xdr:to>
    <xdr:sp macro="" textlink="">
      <xdr:nvSpPr>
        <xdr:cNvPr id="3919" name="3918 Rectángulo"/>
        <xdr:cNvSpPr/>
      </xdr:nvSpPr>
      <xdr:spPr>
        <a:xfrm>
          <a:off x="17356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1769533</xdr:colOff>
      <xdr:row>38</xdr:row>
      <xdr:rowOff>196850</xdr:rowOff>
    </xdr:from>
    <xdr:to>
      <xdr:col>0</xdr:col>
      <xdr:colOff>1778000</xdr:colOff>
      <xdr:row>40</xdr:row>
      <xdr:rowOff>187325</xdr:rowOff>
    </xdr:to>
    <xdr:sp macro="" textlink="">
      <xdr:nvSpPr>
        <xdr:cNvPr id="3920" name="3919 Rectángulo"/>
        <xdr:cNvSpPr/>
      </xdr:nvSpPr>
      <xdr:spPr>
        <a:xfrm>
          <a:off x="17695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1786467</xdr:colOff>
      <xdr:row>38</xdr:row>
      <xdr:rowOff>196850</xdr:rowOff>
    </xdr:from>
    <xdr:to>
      <xdr:col>0</xdr:col>
      <xdr:colOff>1794933</xdr:colOff>
      <xdr:row>40</xdr:row>
      <xdr:rowOff>187325</xdr:rowOff>
    </xdr:to>
    <xdr:sp macro="" textlink="">
      <xdr:nvSpPr>
        <xdr:cNvPr id="3921" name="3920 Rectángulo"/>
        <xdr:cNvSpPr/>
      </xdr:nvSpPr>
      <xdr:spPr>
        <a:xfrm>
          <a:off x="17864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1803400</xdr:colOff>
      <xdr:row>38</xdr:row>
      <xdr:rowOff>196850</xdr:rowOff>
    </xdr:from>
    <xdr:to>
      <xdr:col>0</xdr:col>
      <xdr:colOff>1828800</xdr:colOff>
      <xdr:row>40</xdr:row>
      <xdr:rowOff>187325</xdr:rowOff>
    </xdr:to>
    <xdr:sp macro="" textlink="">
      <xdr:nvSpPr>
        <xdr:cNvPr id="3922" name="3921 Rectángulo"/>
        <xdr:cNvSpPr/>
      </xdr:nvSpPr>
      <xdr:spPr>
        <a:xfrm>
          <a:off x="1803400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1837267</xdr:colOff>
      <xdr:row>38</xdr:row>
      <xdr:rowOff>196850</xdr:rowOff>
    </xdr:from>
    <xdr:to>
      <xdr:col>0</xdr:col>
      <xdr:colOff>1845733</xdr:colOff>
      <xdr:row>40</xdr:row>
      <xdr:rowOff>187325</xdr:rowOff>
    </xdr:to>
    <xdr:sp macro="" textlink="">
      <xdr:nvSpPr>
        <xdr:cNvPr id="3923" name="3922 Rectángulo"/>
        <xdr:cNvSpPr/>
      </xdr:nvSpPr>
      <xdr:spPr>
        <a:xfrm>
          <a:off x="18372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1854200</xdr:colOff>
      <xdr:row>38</xdr:row>
      <xdr:rowOff>196850</xdr:rowOff>
    </xdr:from>
    <xdr:to>
      <xdr:col>0</xdr:col>
      <xdr:colOff>1879600</xdr:colOff>
      <xdr:row>40</xdr:row>
      <xdr:rowOff>187325</xdr:rowOff>
    </xdr:to>
    <xdr:sp macro="" textlink="">
      <xdr:nvSpPr>
        <xdr:cNvPr id="3924" name="3923 Rectángulo"/>
        <xdr:cNvSpPr/>
      </xdr:nvSpPr>
      <xdr:spPr>
        <a:xfrm>
          <a:off x="1854200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1905000</xdr:colOff>
      <xdr:row>38</xdr:row>
      <xdr:rowOff>196850</xdr:rowOff>
    </xdr:from>
    <xdr:to>
      <xdr:col>0</xdr:col>
      <xdr:colOff>1930400</xdr:colOff>
      <xdr:row>40</xdr:row>
      <xdr:rowOff>187325</xdr:rowOff>
    </xdr:to>
    <xdr:sp macro="" textlink="">
      <xdr:nvSpPr>
        <xdr:cNvPr id="3925" name="3924 Rectángulo"/>
        <xdr:cNvSpPr/>
      </xdr:nvSpPr>
      <xdr:spPr>
        <a:xfrm>
          <a:off x="1905000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1938867</xdr:colOff>
      <xdr:row>38</xdr:row>
      <xdr:rowOff>196850</xdr:rowOff>
    </xdr:from>
    <xdr:to>
      <xdr:col>0</xdr:col>
      <xdr:colOff>1947333</xdr:colOff>
      <xdr:row>40</xdr:row>
      <xdr:rowOff>187325</xdr:rowOff>
    </xdr:to>
    <xdr:sp macro="" textlink="">
      <xdr:nvSpPr>
        <xdr:cNvPr id="3926" name="3925 Rectángulo"/>
        <xdr:cNvSpPr/>
      </xdr:nvSpPr>
      <xdr:spPr>
        <a:xfrm>
          <a:off x="19388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1955800</xdr:colOff>
      <xdr:row>38</xdr:row>
      <xdr:rowOff>196850</xdr:rowOff>
    </xdr:from>
    <xdr:to>
      <xdr:col>0</xdr:col>
      <xdr:colOff>1964267</xdr:colOff>
      <xdr:row>40</xdr:row>
      <xdr:rowOff>187325</xdr:rowOff>
    </xdr:to>
    <xdr:sp macro="" textlink="">
      <xdr:nvSpPr>
        <xdr:cNvPr id="3927" name="3926 Rectángulo"/>
        <xdr:cNvSpPr/>
      </xdr:nvSpPr>
      <xdr:spPr>
        <a:xfrm>
          <a:off x="1955800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1989667</xdr:colOff>
      <xdr:row>38</xdr:row>
      <xdr:rowOff>196850</xdr:rowOff>
    </xdr:from>
    <xdr:to>
      <xdr:col>0</xdr:col>
      <xdr:colOff>2015067</xdr:colOff>
      <xdr:row>40</xdr:row>
      <xdr:rowOff>187325</xdr:rowOff>
    </xdr:to>
    <xdr:sp macro="" textlink="">
      <xdr:nvSpPr>
        <xdr:cNvPr id="3928" name="3927 Rectángulo"/>
        <xdr:cNvSpPr/>
      </xdr:nvSpPr>
      <xdr:spPr>
        <a:xfrm>
          <a:off x="1989667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2023533</xdr:colOff>
      <xdr:row>38</xdr:row>
      <xdr:rowOff>196850</xdr:rowOff>
    </xdr:from>
    <xdr:to>
      <xdr:col>0</xdr:col>
      <xdr:colOff>2032000</xdr:colOff>
      <xdr:row>40</xdr:row>
      <xdr:rowOff>187325</xdr:rowOff>
    </xdr:to>
    <xdr:sp macro="" textlink="">
      <xdr:nvSpPr>
        <xdr:cNvPr id="3929" name="3928 Rectángulo"/>
        <xdr:cNvSpPr/>
      </xdr:nvSpPr>
      <xdr:spPr>
        <a:xfrm>
          <a:off x="20235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2057400</xdr:colOff>
      <xdr:row>38</xdr:row>
      <xdr:rowOff>196850</xdr:rowOff>
    </xdr:from>
    <xdr:to>
      <xdr:col>0</xdr:col>
      <xdr:colOff>2065867</xdr:colOff>
      <xdr:row>40</xdr:row>
      <xdr:rowOff>187325</xdr:rowOff>
    </xdr:to>
    <xdr:sp macro="" textlink="">
      <xdr:nvSpPr>
        <xdr:cNvPr id="3930" name="3929 Rectángulo"/>
        <xdr:cNvSpPr/>
      </xdr:nvSpPr>
      <xdr:spPr>
        <a:xfrm>
          <a:off x="2057400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2074333</xdr:colOff>
      <xdr:row>38</xdr:row>
      <xdr:rowOff>196850</xdr:rowOff>
    </xdr:from>
    <xdr:to>
      <xdr:col>0</xdr:col>
      <xdr:colOff>2099733</xdr:colOff>
      <xdr:row>40</xdr:row>
      <xdr:rowOff>187325</xdr:rowOff>
    </xdr:to>
    <xdr:sp macro="" textlink="">
      <xdr:nvSpPr>
        <xdr:cNvPr id="3931" name="3930 Rectángulo"/>
        <xdr:cNvSpPr/>
      </xdr:nvSpPr>
      <xdr:spPr>
        <a:xfrm>
          <a:off x="2074333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2125133</xdr:colOff>
      <xdr:row>38</xdr:row>
      <xdr:rowOff>196850</xdr:rowOff>
    </xdr:from>
    <xdr:to>
      <xdr:col>0</xdr:col>
      <xdr:colOff>2133600</xdr:colOff>
      <xdr:row>40</xdr:row>
      <xdr:rowOff>187325</xdr:rowOff>
    </xdr:to>
    <xdr:sp macro="" textlink="">
      <xdr:nvSpPr>
        <xdr:cNvPr id="3932" name="3931 Rectángulo"/>
        <xdr:cNvSpPr/>
      </xdr:nvSpPr>
      <xdr:spPr>
        <a:xfrm>
          <a:off x="21251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2142067</xdr:colOff>
      <xdr:row>38</xdr:row>
      <xdr:rowOff>196850</xdr:rowOff>
    </xdr:from>
    <xdr:to>
      <xdr:col>0</xdr:col>
      <xdr:colOff>2150533</xdr:colOff>
      <xdr:row>40</xdr:row>
      <xdr:rowOff>187325</xdr:rowOff>
    </xdr:to>
    <xdr:sp macro="" textlink="">
      <xdr:nvSpPr>
        <xdr:cNvPr id="3933" name="3932 Rectángulo"/>
        <xdr:cNvSpPr/>
      </xdr:nvSpPr>
      <xdr:spPr>
        <a:xfrm>
          <a:off x="21420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2175933</xdr:colOff>
      <xdr:row>38</xdr:row>
      <xdr:rowOff>196850</xdr:rowOff>
    </xdr:from>
    <xdr:to>
      <xdr:col>0</xdr:col>
      <xdr:colOff>2201333</xdr:colOff>
      <xdr:row>40</xdr:row>
      <xdr:rowOff>187325</xdr:rowOff>
    </xdr:to>
    <xdr:sp macro="" textlink="">
      <xdr:nvSpPr>
        <xdr:cNvPr id="3934" name="3933 Rectángulo"/>
        <xdr:cNvSpPr/>
      </xdr:nvSpPr>
      <xdr:spPr>
        <a:xfrm>
          <a:off x="2175933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2226733</xdr:colOff>
      <xdr:row>38</xdr:row>
      <xdr:rowOff>196850</xdr:rowOff>
    </xdr:from>
    <xdr:to>
      <xdr:col>0</xdr:col>
      <xdr:colOff>2235200</xdr:colOff>
      <xdr:row>40</xdr:row>
      <xdr:rowOff>187325</xdr:rowOff>
    </xdr:to>
    <xdr:sp macro="" textlink="">
      <xdr:nvSpPr>
        <xdr:cNvPr id="3935" name="3934 Rectángulo"/>
        <xdr:cNvSpPr/>
      </xdr:nvSpPr>
      <xdr:spPr>
        <a:xfrm>
          <a:off x="22267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2243667</xdr:colOff>
      <xdr:row>38</xdr:row>
      <xdr:rowOff>196850</xdr:rowOff>
    </xdr:from>
    <xdr:to>
      <xdr:col>0</xdr:col>
      <xdr:colOff>2252133</xdr:colOff>
      <xdr:row>40</xdr:row>
      <xdr:rowOff>187325</xdr:rowOff>
    </xdr:to>
    <xdr:sp macro="" textlink="">
      <xdr:nvSpPr>
        <xdr:cNvPr id="3936" name="3935 Rectángulo"/>
        <xdr:cNvSpPr/>
      </xdr:nvSpPr>
      <xdr:spPr>
        <a:xfrm>
          <a:off x="22436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2260600</xdr:colOff>
      <xdr:row>38</xdr:row>
      <xdr:rowOff>196850</xdr:rowOff>
    </xdr:from>
    <xdr:to>
      <xdr:col>0</xdr:col>
      <xdr:colOff>2286000</xdr:colOff>
      <xdr:row>40</xdr:row>
      <xdr:rowOff>187325</xdr:rowOff>
    </xdr:to>
    <xdr:sp macro="" textlink="">
      <xdr:nvSpPr>
        <xdr:cNvPr id="3937" name="3936 Rectángulo"/>
        <xdr:cNvSpPr/>
      </xdr:nvSpPr>
      <xdr:spPr>
        <a:xfrm>
          <a:off x="2260600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2294467</xdr:colOff>
      <xdr:row>38</xdr:row>
      <xdr:rowOff>196850</xdr:rowOff>
    </xdr:from>
    <xdr:to>
      <xdr:col>0</xdr:col>
      <xdr:colOff>2302933</xdr:colOff>
      <xdr:row>40</xdr:row>
      <xdr:rowOff>187325</xdr:rowOff>
    </xdr:to>
    <xdr:sp macro="" textlink="">
      <xdr:nvSpPr>
        <xdr:cNvPr id="3938" name="3937 Rectángulo"/>
        <xdr:cNvSpPr/>
      </xdr:nvSpPr>
      <xdr:spPr>
        <a:xfrm>
          <a:off x="22944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2311400</xdr:colOff>
      <xdr:row>38</xdr:row>
      <xdr:rowOff>196850</xdr:rowOff>
    </xdr:from>
    <xdr:to>
      <xdr:col>0</xdr:col>
      <xdr:colOff>2336800</xdr:colOff>
      <xdr:row>40</xdr:row>
      <xdr:rowOff>187325</xdr:rowOff>
    </xdr:to>
    <xdr:sp macro="" textlink="">
      <xdr:nvSpPr>
        <xdr:cNvPr id="3939" name="3938 Rectángulo"/>
        <xdr:cNvSpPr/>
      </xdr:nvSpPr>
      <xdr:spPr>
        <a:xfrm>
          <a:off x="2311400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2362200</xdr:colOff>
      <xdr:row>38</xdr:row>
      <xdr:rowOff>196850</xdr:rowOff>
    </xdr:from>
    <xdr:to>
      <xdr:col>0</xdr:col>
      <xdr:colOff>2370667</xdr:colOff>
      <xdr:row>40</xdr:row>
      <xdr:rowOff>187325</xdr:rowOff>
    </xdr:to>
    <xdr:sp macro="" textlink="">
      <xdr:nvSpPr>
        <xdr:cNvPr id="3940" name="3939 Rectángulo"/>
        <xdr:cNvSpPr/>
      </xdr:nvSpPr>
      <xdr:spPr>
        <a:xfrm>
          <a:off x="2362200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2379133</xdr:colOff>
      <xdr:row>38</xdr:row>
      <xdr:rowOff>196850</xdr:rowOff>
    </xdr:from>
    <xdr:to>
      <xdr:col>0</xdr:col>
      <xdr:colOff>2404533</xdr:colOff>
      <xdr:row>40</xdr:row>
      <xdr:rowOff>187325</xdr:rowOff>
    </xdr:to>
    <xdr:sp macro="" textlink="">
      <xdr:nvSpPr>
        <xdr:cNvPr id="3941" name="3940 Rectángulo"/>
        <xdr:cNvSpPr/>
      </xdr:nvSpPr>
      <xdr:spPr>
        <a:xfrm>
          <a:off x="2379133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2413000</xdr:colOff>
      <xdr:row>38</xdr:row>
      <xdr:rowOff>196850</xdr:rowOff>
    </xdr:from>
    <xdr:to>
      <xdr:col>0</xdr:col>
      <xdr:colOff>2421467</xdr:colOff>
      <xdr:row>40</xdr:row>
      <xdr:rowOff>187325</xdr:rowOff>
    </xdr:to>
    <xdr:sp macro="" textlink="">
      <xdr:nvSpPr>
        <xdr:cNvPr id="3942" name="3941 Rectángulo"/>
        <xdr:cNvSpPr/>
      </xdr:nvSpPr>
      <xdr:spPr>
        <a:xfrm>
          <a:off x="2413000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2446867</xdr:colOff>
      <xdr:row>38</xdr:row>
      <xdr:rowOff>196850</xdr:rowOff>
    </xdr:from>
    <xdr:to>
      <xdr:col>0</xdr:col>
      <xdr:colOff>2455333</xdr:colOff>
      <xdr:row>40</xdr:row>
      <xdr:rowOff>187325</xdr:rowOff>
    </xdr:to>
    <xdr:sp macro="" textlink="">
      <xdr:nvSpPr>
        <xdr:cNvPr id="3943" name="3942 Rectángulo"/>
        <xdr:cNvSpPr/>
      </xdr:nvSpPr>
      <xdr:spPr>
        <a:xfrm>
          <a:off x="24468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2463800</xdr:colOff>
      <xdr:row>38</xdr:row>
      <xdr:rowOff>196850</xdr:rowOff>
    </xdr:from>
    <xdr:to>
      <xdr:col>0</xdr:col>
      <xdr:colOff>2489200</xdr:colOff>
      <xdr:row>40</xdr:row>
      <xdr:rowOff>187325</xdr:rowOff>
    </xdr:to>
    <xdr:sp macro="" textlink="">
      <xdr:nvSpPr>
        <xdr:cNvPr id="3944" name="3943 Rectángulo"/>
        <xdr:cNvSpPr/>
      </xdr:nvSpPr>
      <xdr:spPr>
        <a:xfrm>
          <a:off x="2463800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2514600</xdr:colOff>
      <xdr:row>38</xdr:row>
      <xdr:rowOff>196850</xdr:rowOff>
    </xdr:from>
    <xdr:to>
      <xdr:col>0</xdr:col>
      <xdr:colOff>2523067</xdr:colOff>
      <xdr:row>40</xdr:row>
      <xdr:rowOff>187325</xdr:rowOff>
    </xdr:to>
    <xdr:sp macro="" textlink="">
      <xdr:nvSpPr>
        <xdr:cNvPr id="3945" name="3944 Rectángulo"/>
        <xdr:cNvSpPr/>
      </xdr:nvSpPr>
      <xdr:spPr>
        <a:xfrm>
          <a:off x="2514600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2531533</xdr:colOff>
      <xdr:row>38</xdr:row>
      <xdr:rowOff>196850</xdr:rowOff>
    </xdr:from>
    <xdr:to>
      <xdr:col>0</xdr:col>
      <xdr:colOff>2540000</xdr:colOff>
      <xdr:row>40</xdr:row>
      <xdr:rowOff>187325</xdr:rowOff>
    </xdr:to>
    <xdr:sp macro="" textlink="">
      <xdr:nvSpPr>
        <xdr:cNvPr id="3946" name="3945 Rectángulo"/>
        <xdr:cNvSpPr/>
      </xdr:nvSpPr>
      <xdr:spPr>
        <a:xfrm>
          <a:off x="25315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2548467</xdr:colOff>
      <xdr:row>38</xdr:row>
      <xdr:rowOff>196850</xdr:rowOff>
    </xdr:from>
    <xdr:to>
      <xdr:col>0</xdr:col>
      <xdr:colOff>2573867</xdr:colOff>
      <xdr:row>40</xdr:row>
      <xdr:rowOff>187325</xdr:rowOff>
    </xdr:to>
    <xdr:sp macro="" textlink="">
      <xdr:nvSpPr>
        <xdr:cNvPr id="3947" name="3946 Rectángulo"/>
        <xdr:cNvSpPr/>
      </xdr:nvSpPr>
      <xdr:spPr>
        <a:xfrm>
          <a:off x="2548467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2599267</xdr:colOff>
      <xdr:row>38</xdr:row>
      <xdr:rowOff>196850</xdr:rowOff>
    </xdr:from>
    <xdr:to>
      <xdr:col>0</xdr:col>
      <xdr:colOff>2607733</xdr:colOff>
      <xdr:row>40</xdr:row>
      <xdr:rowOff>187325</xdr:rowOff>
    </xdr:to>
    <xdr:sp macro="" textlink="">
      <xdr:nvSpPr>
        <xdr:cNvPr id="3948" name="3947 Rectángulo"/>
        <xdr:cNvSpPr/>
      </xdr:nvSpPr>
      <xdr:spPr>
        <a:xfrm>
          <a:off x="25992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2633133</xdr:colOff>
      <xdr:row>38</xdr:row>
      <xdr:rowOff>196850</xdr:rowOff>
    </xdr:from>
    <xdr:to>
      <xdr:col>0</xdr:col>
      <xdr:colOff>2641600</xdr:colOff>
      <xdr:row>40</xdr:row>
      <xdr:rowOff>187325</xdr:rowOff>
    </xdr:to>
    <xdr:sp macro="" textlink="">
      <xdr:nvSpPr>
        <xdr:cNvPr id="3949" name="3948 Rectángulo"/>
        <xdr:cNvSpPr/>
      </xdr:nvSpPr>
      <xdr:spPr>
        <a:xfrm>
          <a:off x="26331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2650067</xdr:colOff>
      <xdr:row>38</xdr:row>
      <xdr:rowOff>196850</xdr:rowOff>
    </xdr:from>
    <xdr:to>
      <xdr:col>0</xdr:col>
      <xdr:colOff>2675467</xdr:colOff>
      <xdr:row>40</xdr:row>
      <xdr:rowOff>187325</xdr:rowOff>
    </xdr:to>
    <xdr:sp macro="" textlink="">
      <xdr:nvSpPr>
        <xdr:cNvPr id="3950" name="3949 Rectángulo"/>
        <xdr:cNvSpPr/>
      </xdr:nvSpPr>
      <xdr:spPr>
        <a:xfrm>
          <a:off x="2650067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0</xdr:col>
      <xdr:colOff>2683933</xdr:colOff>
      <xdr:row>38</xdr:row>
      <xdr:rowOff>196850</xdr:rowOff>
    </xdr:from>
    <xdr:to>
      <xdr:col>0</xdr:col>
      <xdr:colOff>2709333</xdr:colOff>
      <xdr:row>40</xdr:row>
      <xdr:rowOff>187325</xdr:rowOff>
    </xdr:to>
    <xdr:sp macro="" textlink="">
      <xdr:nvSpPr>
        <xdr:cNvPr id="3951" name="3950 Rectángulo"/>
        <xdr:cNvSpPr/>
      </xdr:nvSpPr>
      <xdr:spPr>
        <a:xfrm>
          <a:off x="2683933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3175</xdr:colOff>
      <xdr:row>38</xdr:row>
      <xdr:rowOff>196850</xdr:rowOff>
    </xdr:from>
    <xdr:to>
      <xdr:col>1</xdr:col>
      <xdr:colOff>11642</xdr:colOff>
      <xdr:row>40</xdr:row>
      <xdr:rowOff>187325</xdr:rowOff>
    </xdr:to>
    <xdr:sp macro="" textlink="">
      <xdr:nvSpPr>
        <xdr:cNvPr id="3952" name="3951 Rectángulo"/>
        <xdr:cNvSpPr/>
      </xdr:nvSpPr>
      <xdr:spPr>
        <a:xfrm>
          <a:off x="2717800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37042</xdr:colOff>
      <xdr:row>38</xdr:row>
      <xdr:rowOff>196850</xdr:rowOff>
    </xdr:from>
    <xdr:to>
      <xdr:col>1</xdr:col>
      <xdr:colOff>62442</xdr:colOff>
      <xdr:row>40</xdr:row>
      <xdr:rowOff>187325</xdr:rowOff>
    </xdr:to>
    <xdr:sp macro="" textlink="">
      <xdr:nvSpPr>
        <xdr:cNvPr id="3953" name="3952 Rectángulo"/>
        <xdr:cNvSpPr/>
      </xdr:nvSpPr>
      <xdr:spPr>
        <a:xfrm>
          <a:off x="2751667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70908</xdr:colOff>
      <xdr:row>38</xdr:row>
      <xdr:rowOff>196850</xdr:rowOff>
    </xdr:from>
    <xdr:to>
      <xdr:col>1</xdr:col>
      <xdr:colOff>79375</xdr:colOff>
      <xdr:row>40</xdr:row>
      <xdr:rowOff>187325</xdr:rowOff>
    </xdr:to>
    <xdr:sp macro="" textlink="">
      <xdr:nvSpPr>
        <xdr:cNvPr id="3954" name="3953 Rectángulo"/>
        <xdr:cNvSpPr/>
      </xdr:nvSpPr>
      <xdr:spPr>
        <a:xfrm>
          <a:off x="27855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87842</xdr:colOff>
      <xdr:row>38</xdr:row>
      <xdr:rowOff>196850</xdr:rowOff>
    </xdr:from>
    <xdr:to>
      <xdr:col>1</xdr:col>
      <xdr:colOff>96308</xdr:colOff>
      <xdr:row>40</xdr:row>
      <xdr:rowOff>187325</xdr:rowOff>
    </xdr:to>
    <xdr:sp macro="" textlink="">
      <xdr:nvSpPr>
        <xdr:cNvPr id="3955" name="3954 Rectángulo"/>
        <xdr:cNvSpPr/>
      </xdr:nvSpPr>
      <xdr:spPr>
        <a:xfrm>
          <a:off x="28024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121708</xdr:colOff>
      <xdr:row>38</xdr:row>
      <xdr:rowOff>196850</xdr:rowOff>
    </xdr:from>
    <xdr:to>
      <xdr:col>1</xdr:col>
      <xdr:colOff>147108</xdr:colOff>
      <xdr:row>40</xdr:row>
      <xdr:rowOff>187325</xdr:rowOff>
    </xdr:to>
    <xdr:sp macro="" textlink="">
      <xdr:nvSpPr>
        <xdr:cNvPr id="3956" name="3955 Rectángulo"/>
        <xdr:cNvSpPr/>
      </xdr:nvSpPr>
      <xdr:spPr>
        <a:xfrm>
          <a:off x="2836333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172508</xdr:colOff>
      <xdr:row>38</xdr:row>
      <xdr:rowOff>196850</xdr:rowOff>
    </xdr:from>
    <xdr:to>
      <xdr:col>1</xdr:col>
      <xdr:colOff>180975</xdr:colOff>
      <xdr:row>40</xdr:row>
      <xdr:rowOff>187325</xdr:rowOff>
    </xdr:to>
    <xdr:sp macro="" textlink="">
      <xdr:nvSpPr>
        <xdr:cNvPr id="3957" name="3956 Rectángulo"/>
        <xdr:cNvSpPr/>
      </xdr:nvSpPr>
      <xdr:spPr>
        <a:xfrm>
          <a:off x="28871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189442</xdr:colOff>
      <xdr:row>38</xdr:row>
      <xdr:rowOff>196850</xdr:rowOff>
    </xdr:from>
    <xdr:to>
      <xdr:col>1</xdr:col>
      <xdr:colOff>214842</xdr:colOff>
      <xdr:row>40</xdr:row>
      <xdr:rowOff>187325</xdr:rowOff>
    </xdr:to>
    <xdr:sp macro="" textlink="">
      <xdr:nvSpPr>
        <xdr:cNvPr id="3958" name="3957 Rectángulo"/>
        <xdr:cNvSpPr/>
      </xdr:nvSpPr>
      <xdr:spPr>
        <a:xfrm>
          <a:off x="2904067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223308</xdr:colOff>
      <xdr:row>38</xdr:row>
      <xdr:rowOff>196850</xdr:rowOff>
    </xdr:from>
    <xdr:to>
      <xdr:col>1</xdr:col>
      <xdr:colOff>231775</xdr:colOff>
      <xdr:row>40</xdr:row>
      <xdr:rowOff>187325</xdr:rowOff>
    </xdr:to>
    <xdr:sp macro="" textlink="">
      <xdr:nvSpPr>
        <xdr:cNvPr id="3959" name="3958 Rectángulo"/>
        <xdr:cNvSpPr/>
      </xdr:nvSpPr>
      <xdr:spPr>
        <a:xfrm>
          <a:off x="29379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240242</xdr:colOff>
      <xdr:row>38</xdr:row>
      <xdr:rowOff>196850</xdr:rowOff>
    </xdr:from>
    <xdr:to>
      <xdr:col>1</xdr:col>
      <xdr:colOff>248708</xdr:colOff>
      <xdr:row>40</xdr:row>
      <xdr:rowOff>187325</xdr:rowOff>
    </xdr:to>
    <xdr:sp macro="" textlink="">
      <xdr:nvSpPr>
        <xdr:cNvPr id="3960" name="3959 Rectángulo"/>
        <xdr:cNvSpPr/>
      </xdr:nvSpPr>
      <xdr:spPr>
        <a:xfrm>
          <a:off x="2954867" y="8255000"/>
          <a:ext cx="8466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274108</xdr:colOff>
      <xdr:row>38</xdr:row>
      <xdr:rowOff>196850</xdr:rowOff>
    </xdr:from>
    <xdr:to>
      <xdr:col>1</xdr:col>
      <xdr:colOff>282575</xdr:colOff>
      <xdr:row>40</xdr:row>
      <xdr:rowOff>187325</xdr:rowOff>
    </xdr:to>
    <xdr:sp macro="" textlink="">
      <xdr:nvSpPr>
        <xdr:cNvPr id="3961" name="3960 Rectángulo"/>
        <xdr:cNvSpPr/>
      </xdr:nvSpPr>
      <xdr:spPr>
        <a:xfrm>
          <a:off x="29887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307975</xdr:colOff>
      <xdr:row>38</xdr:row>
      <xdr:rowOff>196850</xdr:rowOff>
    </xdr:from>
    <xdr:to>
      <xdr:col>1</xdr:col>
      <xdr:colOff>333375</xdr:colOff>
      <xdr:row>40</xdr:row>
      <xdr:rowOff>187325</xdr:rowOff>
    </xdr:to>
    <xdr:sp macro="" textlink="">
      <xdr:nvSpPr>
        <xdr:cNvPr id="3962" name="3961 Rectángulo"/>
        <xdr:cNvSpPr/>
      </xdr:nvSpPr>
      <xdr:spPr>
        <a:xfrm>
          <a:off x="3022600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341842</xdr:colOff>
      <xdr:row>38</xdr:row>
      <xdr:rowOff>196850</xdr:rowOff>
    </xdr:from>
    <xdr:to>
      <xdr:col>1</xdr:col>
      <xdr:colOff>367242</xdr:colOff>
      <xdr:row>40</xdr:row>
      <xdr:rowOff>187325</xdr:rowOff>
    </xdr:to>
    <xdr:sp macro="" textlink="">
      <xdr:nvSpPr>
        <xdr:cNvPr id="3963" name="3962 Rectángulo"/>
        <xdr:cNvSpPr/>
      </xdr:nvSpPr>
      <xdr:spPr>
        <a:xfrm>
          <a:off x="3056467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375708</xdr:colOff>
      <xdr:row>38</xdr:row>
      <xdr:rowOff>196850</xdr:rowOff>
    </xdr:from>
    <xdr:to>
      <xdr:col>1</xdr:col>
      <xdr:colOff>384175</xdr:colOff>
      <xdr:row>40</xdr:row>
      <xdr:rowOff>187325</xdr:rowOff>
    </xdr:to>
    <xdr:sp macro="" textlink="">
      <xdr:nvSpPr>
        <xdr:cNvPr id="3964" name="3963 Rectángulo"/>
        <xdr:cNvSpPr/>
      </xdr:nvSpPr>
      <xdr:spPr>
        <a:xfrm>
          <a:off x="30903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409575</xdr:colOff>
      <xdr:row>38</xdr:row>
      <xdr:rowOff>196850</xdr:rowOff>
    </xdr:from>
    <xdr:to>
      <xdr:col>1</xdr:col>
      <xdr:colOff>418042</xdr:colOff>
      <xdr:row>40</xdr:row>
      <xdr:rowOff>187325</xdr:rowOff>
    </xdr:to>
    <xdr:sp macro="" textlink="">
      <xdr:nvSpPr>
        <xdr:cNvPr id="3965" name="3964 Rectángulo"/>
        <xdr:cNvSpPr/>
      </xdr:nvSpPr>
      <xdr:spPr>
        <a:xfrm>
          <a:off x="3124200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426508</xdr:colOff>
      <xdr:row>38</xdr:row>
      <xdr:rowOff>196850</xdr:rowOff>
    </xdr:from>
    <xdr:to>
      <xdr:col>1</xdr:col>
      <xdr:colOff>434975</xdr:colOff>
      <xdr:row>40</xdr:row>
      <xdr:rowOff>187325</xdr:rowOff>
    </xdr:to>
    <xdr:sp macro="" textlink="">
      <xdr:nvSpPr>
        <xdr:cNvPr id="3966" name="3965 Rectángulo"/>
        <xdr:cNvSpPr/>
      </xdr:nvSpPr>
      <xdr:spPr>
        <a:xfrm>
          <a:off x="31411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460375</xdr:colOff>
      <xdr:row>38</xdr:row>
      <xdr:rowOff>196850</xdr:rowOff>
    </xdr:from>
    <xdr:to>
      <xdr:col>1</xdr:col>
      <xdr:colOff>485775</xdr:colOff>
      <xdr:row>40</xdr:row>
      <xdr:rowOff>187325</xdr:rowOff>
    </xdr:to>
    <xdr:sp macro="" textlink="">
      <xdr:nvSpPr>
        <xdr:cNvPr id="3967" name="3966 Rectángulo"/>
        <xdr:cNvSpPr/>
      </xdr:nvSpPr>
      <xdr:spPr>
        <a:xfrm>
          <a:off x="3175000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494242</xdr:colOff>
      <xdr:row>38</xdr:row>
      <xdr:rowOff>196850</xdr:rowOff>
    </xdr:from>
    <xdr:to>
      <xdr:col>1</xdr:col>
      <xdr:colOff>519642</xdr:colOff>
      <xdr:row>40</xdr:row>
      <xdr:rowOff>187325</xdr:rowOff>
    </xdr:to>
    <xdr:sp macro="" textlink="">
      <xdr:nvSpPr>
        <xdr:cNvPr id="3968" name="3967 Rectángulo"/>
        <xdr:cNvSpPr/>
      </xdr:nvSpPr>
      <xdr:spPr>
        <a:xfrm>
          <a:off x="3208867" y="8255000"/>
          <a:ext cx="25400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528108</xdr:colOff>
      <xdr:row>38</xdr:row>
      <xdr:rowOff>196850</xdr:rowOff>
    </xdr:from>
    <xdr:to>
      <xdr:col>1</xdr:col>
      <xdr:colOff>536575</xdr:colOff>
      <xdr:row>40</xdr:row>
      <xdr:rowOff>187325</xdr:rowOff>
    </xdr:to>
    <xdr:sp macro="" textlink="">
      <xdr:nvSpPr>
        <xdr:cNvPr id="3969" name="3968 Rectángulo"/>
        <xdr:cNvSpPr/>
      </xdr:nvSpPr>
      <xdr:spPr>
        <a:xfrm>
          <a:off x="3242733" y="8255000"/>
          <a:ext cx="8467" cy="3810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</xdr:wsDr>
</file>

<file path=xl/theme/theme1.xml><?xml version="1.0" encoding="utf-8"?>
<a:theme xmlns:a="http://schemas.openxmlformats.org/drawingml/2006/main" name="Vertex42">
  <a:themeElements>
    <a:clrScheme name="V42-ClassicBlue">
      <a:dk1>
        <a:sysClr val="windowText" lastClr="000000"/>
      </a:dk1>
      <a:lt1>
        <a:sysClr val="window" lastClr="FFFFFF"/>
      </a:lt1>
      <a:dk2>
        <a:srgbClr val="3A5D9C"/>
      </a:dk2>
      <a:lt2>
        <a:srgbClr val="EEECE2"/>
      </a:lt2>
      <a:accent1>
        <a:srgbClr val="3B4E87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Vertex42">
      <a:majorFont>
        <a:latin typeface="Aria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bitingenieria.com.ar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43"/>
  <sheetViews>
    <sheetView showGridLines="0" tabSelected="1" zoomScale="130" zoomScaleNormal="130" workbookViewId="0">
      <selection activeCell="H12" sqref="H12"/>
    </sheetView>
  </sheetViews>
  <sheetFormatPr defaultColWidth="9.140625" defaultRowHeight="15" x14ac:dyDescent="0.3"/>
  <cols>
    <col min="1" max="1" width="40.7109375" style="1" customWidth="1"/>
    <col min="2" max="2" width="8.7109375" style="1" customWidth="1"/>
    <col min="3" max="3" width="11.42578125" style="1" customWidth="1"/>
    <col min="4" max="4" width="14.28515625" style="1" customWidth="1"/>
    <col min="5" max="5" width="11.85546875" style="1" customWidth="1"/>
    <col min="6" max="6" width="14.85546875" style="1" customWidth="1"/>
    <col min="7" max="7" width="3.42578125" style="1" customWidth="1"/>
    <col min="8" max="8" width="18.42578125" style="1" customWidth="1"/>
    <col min="9" max="9" width="2.7109375" style="1" customWidth="1"/>
    <col min="10" max="16384" width="9.140625" style="1"/>
  </cols>
  <sheetData>
    <row r="1" spans="1:10" ht="59.25" customHeight="1" x14ac:dyDescent="0.5">
      <c r="A1" s="23" t="s">
        <v>20</v>
      </c>
      <c r="B1" s="23"/>
      <c r="C1" s="36" t="s">
        <v>30</v>
      </c>
      <c r="E1" s="52" t="s">
        <v>8</v>
      </c>
      <c r="F1" s="52"/>
    </row>
    <row r="2" spans="1:10" x14ac:dyDescent="0.3">
      <c r="A2" s="5" t="s">
        <v>3</v>
      </c>
      <c r="B2" s="5"/>
      <c r="C2" s="5"/>
      <c r="D2" s="6"/>
      <c r="H2" s="43"/>
    </row>
    <row r="3" spans="1:10" x14ac:dyDescent="0.3">
      <c r="A3" s="5" t="s">
        <v>4</v>
      </c>
      <c r="B3" s="6"/>
      <c r="C3" s="6"/>
      <c r="D3" s="6"/>
      <c r="E3" s="10" t="s">
        <v>10</v>
      </c>
      <c r="F3" s="17" t="s">
        <v>31</v>
      </c>
      <c r="G3" s="4" t="s">
        <v>33</v>
      </c>
      <c r="H3" s="43"/>
      <c r="J3" s="4"/>
    </row>
    <row r="4" spans="1:10" x14ac:dyDescent="0.3">
      <c r="A4" s="5" t="s">
        <v>5</v>
      </c>
      <c r="B4" s="6"/>
      <c r="C4" s="6"/>
      <c r="D4" s="6"/>
      <c r="E4" s="10" t="s">
        <v>9</v>
      </c>
      <c r="F4" s="16">
        <f ca="1">TODAY()</f>
        <v>43550</v>
      </c>
      <c r="H4" s="43"/>
    </row>
    <row r="5" spans="1:10" x14ac:dyDescent="0.3">
      <c r="A5" s="5" t="s">
        <v>6</v>
      </c>
      <c r="B5" s="6"/>
      <c r="C5" s="31"/>
      <c r="D5" s="6"/>
      <c r="E5" s="10" t="s">
        <v>27</v>
      </c>
      <c r="F5" s="16" t="s">
        <v>28</v>
      </c>
      <c r="H5" s="18"/>
    </row>
    <row r="6" spans="1:10" x14ac:dyDescent="0.3">
      <c r="A6" s="22" t="s">
        <v>7</v>
      </c>
      <c r="B6" s="6"/>
      <c r="C6" s="6"/>
      <c r="D6" s="6"/>
      <c r="E6" s="11"/>
      <c r="F6" s="11"/>
      <c r="H6" s="49"/>
    </row>
    <row r="7" spans="1:10" x14ac:dyDescent="0.3">
      <c r="A7" s="6"/>
      <c r="B7" s="6"/>
      <c r="C7" s="6"/>
      <c r="D7" s="6"/>
      <c r="H7" s="50"/>
      <c r="J7" s="4" t="s">
        <v>24</v>
      </c>
    </row>
    <row r="8" spans="1:10" ht="15.75" x14ac:dyDescent="0.3">
      <c r="A8" s="12" t="s">
        <v>11</v>
      </c>
      <c r="B8" s="9"/>
      <c r="C8" s="26"/>
      <c r="D8" s="30"/>
      <c r="E8" s="27"/>
      <c r="F8" s="27"/>
      <c r="H8" s="51"/>
    </row>
    <row r="9" spans="1:10" x14ac:dyDescent="0.3">
      <c r="A9" s="5">
        <v>27929007862</v>
      </c>
      <c r="B9" s="26"/>
      <c r="C9" s="26"/>
      <c r="D9" s="27"/>
      <c r="E9" s="27"/>
      <c r="F9" s="27"/>
      <c r="H9" s="18"/>
    </row>
    <row r="10" spans="1:10" x14ac:dyDescent="0.3">
      <c r="A10" s="5" t="s">
        <v>26</v>
      </c>
      <c r="B10" s="26"/>
      <c r="C10" s="26"/>
      <c r="D10" s="27"/>
      <c r="E10" s="27"/>
      <c r="F10" s="27"/>
      <c r="H10" s="19"/>
    </row>
    <row r="11" spans="1:10" x14ac:dyDescent="0.3">
      <c r="A11" s="5" t="s">
        <v>13</v>
      </c>
      <c r="B11" s="26"/>
      <c r="C11" s="26"/>
      <c r="D11" s="27"/>
      <c r="E11" s="27"/>
      <c r="F11" s="27"/>
      <c r="H11" s="20"/>
    </row>
    <row r="12" spans="1:10" x14ac:dyDescent="0.3">
      <c r="A12" s="5" t="s">
        <v>12</v>
      </c>
      <c r="B12" s="26"/>
      <c r="C12" s="26"/>
      <c r="D12" s="27"/>
      <c r="E12" s="27"/>
      <c r="F12" s="27"/>
      <c r="H12" s="20"/>
    </row>
    <row r="13" spans="1:10" ht="15.75" x14ac:dyDescent="0.3">
      <c r="A13" s="6" t="s">
        <v>19</v>
      </c>
      <c r="B13" s="26"/>
      <c r="C13" s="26"/>
      <c r="D13" s="27"/>
      <c r="E13" s="27"/>
      <c r="F13" s="27"/>
      <c r="H13" s="3"/>
    </row>
    <row r="14" spans="1:10" ht="15.75" x14ac:dyDescent="0.3">
      <c r="A14" s="24" t="s">
        <v>14</v>
      </c>
      <c r="B14" s="25"/>
      <c r="C14" s="25"/>
      <c r="D14" s="25" t="s">
        <v>15</v>
      </c>
      <c r="E14" s="28" t="s">
        <v>16</v>
      </c>
      <c r="F14" s="29" t="s">
        <v>23</v>
      </c>
      <c r="H14" s="3"/>
    </row>
    <row r="15" spans="1:10" ht="15.75" x14ac:dyDescent="0.3">
      <c r="A15" s="65" t="s">
        <v>22</v>
      </c>
      <c r="B15" s="66"/>
      <c r="C15" s="66"/>
      <c r="D15" s="34">
        <v>2</v>
      </c>
      <c r="E15" s="2">
        <v>199</v>
      </c>
      <c r="F15" s="33">
        <f>E15*D15</f>
        <v>398</v>
      </c>
      <c r="H15" s="3"/>
    </row>
    <row r="16" spans="1:10" ht="15.75" x14ac:dyDescent="0.3">
      <c r="A16" s="65" t="s">
        <v>25</v>
      </c>
      <c r="B16" s="66"/>
      <c r="C16" s="66"/>
      <c r="D16" s="34">
        <v>4</v>
      </c>
      <c r="E16" s="2">
        <v>568</v>
      </c>
      <c r="F16" s="33">
        <f t="shared" ref="F16:F30" si="0">E16*D16</f>
        <v>2272</v>
      </c>
      <c r="H16" s="3"/>
    </row>
    <row r="17" spans="1:8" x14ac:dyDescent="0.3">
      <c r="A17" s="65"/>
      <c r="B17" s="66"/>
      <c r="C17" s="66"/>
      <c r="D17" s="34"/>
      <c r="E17" s="2"/>
      <c r="F17" s="33">
        <f t="shared" si="0"/>
        <v>0</v>
      </c>
      <c r="H17" s="4"/>
    </row>
    <row r="18" spans="1:8" ht="15.75" x14ac:dyDescent="0.3">
      <c r="A18" s="65"/>
      <c r="B18" s="66"/>
      <c r="C18" s="66"/>
      <c r="D18" s="34"/>
      <c r="E18" s="2"/>
      <c r="F18" s="33">
        <f t="shared" si="0"/>
        <v>0</v>
      </c>
      <c r="H18" s="3"/>
    </row>
    <row r="19" spans="1:8" ht="15.75" x14ac:dyDescent="0.3">
      <c r="A19" s="65"/>
      <c r="B19" s="66"/>
      <c r="C19" s="66"/>
      <c r="D19" s="34"/>
      <c r="E19" s="2"/>
      <c r="F19" s="33">
        <f t="shared" si="0"/>
        <v>0</v>
      </c>
      <c r="H19" s="3"/>
    </row>
    <row r="20" spans="1:8" ht="15.75" x14ac:dyDescent="0.3">
      <c r="A20" s="65"/>
      <c r="B20" s="66"/>
      <c r="C20" s="66"/>
      <c r="D20" s="34"/>
      <c r="E20" s="2"/>
      <c r="F20" s="33">
        <f t="shared" si="0"/>
        <v>0</v>
      </c>
      <c r="H20" s="3"/>
    </row>
    <row r="21" spans="1:8" ht="15.75" x14ac:dyDescent="0.3">
      <c r="A21" s="65"/>
      <c r="B21" s="66"/>
      <c r="C21" s="66"/>
      <c r="D21" s="34"/>
      <c r="E21" s="2"/>
      <c r="F21" s="33">
        <f t="shared" si="0"/>
        <v>0</v>
      </c>
      <c r="H21" s="3"/>
    </row>
    <row r="22" spans="1:8" ht="15.75" x14ac:dyDescent="0.3">
      <c r="A22" s="65"/>
      <c r="B22" s="66"/>
      <c r="C22" s="66"/>
      <c r="D22" s="34"/>
      <c r="E22" s="2"/>
      <c r="F22" s="33">
        <f t="shared" si="0"/>
        <v>0</v>
      </c>
      <c r="H22" s="3"/>
    </row>
    <row r="23" spans="1:8" ht="15.75" x14ac:dyDescent="0.3">
      <c r="A23" s="65"/>
      <c r="B23" s="66"/>
      <c r="C23" s="66"/>
      <c r="D23" s="34"/>
      <c r="E23" s="2"/>
      <c r="F23" s="33">
        <f t="shared" si="0"/>
        <v>0</v>
      </c>
      <c r="H23" s="3"/>
    </row>
    <row r="24" spans="1:8" ht="15.75" x14ac:dyDescent="0.3">
      <c r="A24" s="65"/>
      <c r="B24" s="66"/>
      <c r="C24" s="66"/>
      <c r="D24" s="34"/>
      <c r="E24" s="2"/>
      <c r="F24" s="33">
        <f t="shared" si="0"/>
        <v>0</v>
      </c>
      <c r="H24" s="3"/>
    </row>
    <row r="25" spans="1:8" ht="15.75" x14ac:dyDescent="0.3">
      <c r="A25" s="65"/>
      <c r="B25" s="66"/>
      <c r="C25" s="66"/>
      <c r="D25" s="34"/>
      <c r="E25" s="2"/>
      <c r="F25" s="33">
        <f t="shared" si="0"/>
        <v>0</v>
      </c>
      <c r="H25" s="3"/>
    </row>
    <row r="26" spans="1:8" ht="15.75" x14ac:dyDescent="0.3">
      <c r="A26" s="65"/>
      <c r="B26" s="66"/>
      <c r="C26" s="66"/>
      <c r="D26" s="34"/>
      <c r="E26" s="2"/>
      <c r="F26" s="33">
        <f t="shared" si="0"/>
        <v>0</v>
      </c>
      <c r="H26" s="3"/>
    </row>
    <row r="27" spans="1:8" ht="15.75" x14ac:dyDescent="0.3">
      <c r="A27" s="65"/>
      <c r="B27" s="66"/>
      <c r="C27" s="66"/>
      <c r="D27" s="34"/>
      <c r="E27" s="2"/>
      <c r="F27" s="33">
        <f t="shared" si="0"/>
        <v>0</v>
      </c>
      <c r="H27" s="3"/>
    </row>
    <row r="28" spans="1:8" ht="15.75" x14ac:dyDescent="0.3">
      <c r="A28" s="65"/>
      <c r="B28" s="66"/>
      <c r="C28" s="66"/>
      <c r="D28" s="34"/>
      <c r="E28" s="2"/>
      <c r="F28" s="33">
        <f t="shared" si="0"/>
        <v>0</v>
      </c>
      <c r="H28" s="3"/>
    </row>
    <row r="29" spans="1:8" ht="15.75" x14ac:dyDescent="0.3">
      <c r="A29" s="65"/>
      <c r="B29" s="66"/>
      <c r="C29" s="66"/>
      <c r="D29" s="34"/>
      <c r="E29" s="2"/>
      <c r="F29" s="33">
        <f t="shared" si="0"/>
        <v>0</v>
      </c>
      <c r="H29" s="3"/>
    </row>
    <row r="30" spans="1:8" ht="15.75" x14ac:dyDescent="0.3">
      <c r="A30" s="65"/>
      <c r="B30" s="66"/>
      <c r="C30" s="66"/>
      <c r="D30" s="35"/>
      <c r="E30" s="2"/>
      <c r="F30" s="33">
        <f t="shared" si="0"/>
        <v>0</v>
      </c>
      <c r="H30" s="3"/>
    </row>
    <row r="31" spans="1:8" ht="15.75" x14ac:dyDescent="0.3">
      <c r="A31" s="7"/>
      <c r="B31" s="7"/>
      <c r="C31" s="7"/>
      <c r="D31" s="8" t="s">
        <v>0</v>
      </c>
      <c r="E31" s="38" t="s">
        <v>1</v>
      </c>
      <c r="F31" s="39">
        <f>SUM(F15:F30)</f>
        <v>2670</v>
      </c>
      <c r="H31" s="3"/>
    </row>
    <row r="32" spans="1:8" x14ac:dyDescent="0.3">
      <c r="A32" s="54" t="s">
        <v>21</v>
      </c>
      <c r="B32" s="55"/>
      <c r="C32" s="56"/>
      <c r="D32" s="6"/>
      <c r="E32" s="40" t="s">
        <v>18</v>
      </c>
      <c r="F32" s="41">
        <v>0.21</v>
      </c>
      <c r="H32" s="4"/>
    </row>
    <row r="33" spans="1:8" ht="15.75" x14ac:dyDescent="0.3">
      <c r="A33" s="57"/>
      <c r="B33" s="58"/>
      <c r="C33" s="59"/>
      <c r="D33" s="6"/>
      <c r="E33" s="40" t="s">
        <v>17</v>
      </c>
      <c r="F33" s="42">
        <f>IF(C1="A",F31*F32,F31-F31/(F32 + 1))</f>
        <v>463.38842975206626</v>
      </c>
      <c r="H33" s="3"/>
    </row>
    <row r="34" spans="1:8" ht="15.75" thickBot="1" x14ac:dyDescent="0.35">
      <c r="A34" s="60"/>
      <c r="B34" s="53"/>
      <c r="C34" s="61"/>
      <c r="D34" s="6"/>
      <c r="E34" s="13"/>
      <c r="F34" s="32"/>
    </row>
    <row r="35" spans="1:8" ht="17.25" thickTop="1" x14ac:dyDescent="0.3">
      <c r="A35" s="62"/>
      <c r="B35" s="63"/>
      <c r="C35" s="64"/>
      <c r="D35" s="6"/>
      <c r="E35" s="14" t="s">
        <v>2</v>
      </c>
      <c r="F35" s="15">
        <f>IF(C1="A",F31+F33,F31)</f>
        <v>2670</v>
      </c>
      <c r="H35" s="4"/>
    </row>
    <row r="36" spans="1:8" ht="15.75" x14ac:dyDescent="0.3">
      <c r="A36" s="53"/>
      <c r="B36" s="53"/>
      <c r="C36" s="53"/>
      <c r="D36" s="6"/>
      <c r="H36" s="3"/>
    </row>
    <row r="37" spans="1:8" ht="15.75" x14ac:dyDescent="0.3">
      <c r="A37" s="37" t="s">
        <v>32</v>
      </c>
      <c r="B37" s="37"/>
      <c r="C37" s="37"/>
      <c r="D37" s="6"/>
      <c r="E37" s="47"/>
      <c r="F37" s="47"/>
      <c r="H37" s="3"/>
    </row>
    <row r="38" spans="1:8" ht="15.75" x14ac:dyDescent="0.3">
      <c r="A38" s="37" t="s">
        <v>29</v>
      </c>
      <c r="B38" s="37"/>
      <c r="C38" s="37"/>
      <c r="D38" s="6"/>
      <c r="E38" s="48"/>
      <c r="F38" s="48"/>
      <c r="H38" s="3"/>
    </row>
    <row r="39" spans="1:8" ht="15.75" x14ac:dyDescent="0.3">
      <c r="H39" s="3"/>
    </row>
    <row r="40" spans="1:8" x14ac:dyDescent="0.3">
      <c r="H40" s="21"/>
    </row>
    <row r="41" spans="1:8" x14ac:dyDescent="0.3">
      <c r="A41" s="45"/>
      <c r="B41" s="45"/>
      <c r="C41" s="45"/>
      <c r="D41" s="45"/>
      <c r="E41" s="45"/>
      <c r="F41" s="45"/>
      <c r="H41" s="18"/>
    </row>
    <row r="42" spans="1:8" x14ac:dyDescent="0.3">
      <c r="A42" s="46"/>
      <c r="B42" s="46"/>
      <c r="C42" s="46"/>
      <c r="D42" s="46"/>
      <c r="E42" s="46"/>
      <c r="F42" s="46"/>
      <c r="H42" s="18"/>
    </row>
    <row r="43" spans="1:8" ht="18" x14ac:dyDescent="0.35">
      <c r="A43" s="44"/>
      <c r="B43" s="44"/>
      <c r="C43" s="44"/>
      <c r="D43" s="44"/>
      <c r="E43" s="44"/>
      <c r="F43" s="44"/>
      <c r="H43" s="18"/>
    </row>
  </sheetData>
  <mergeCells count="28">
    <mergeCell ref="A29:C29"/>
    <mergeCell ref="A30:C30"/>
    <mergeCell ref="A22:C22"/>
    <mergeCell ref="A23:C23"/>
    <mergeCell ref="A24:C24"/>
    <mergeCell ref="A26:C26"/>
    <mergeCell ref="A27:C27"/>
    <mergeCell ref="H6:H8"/>
    <mergeCell ref="E1:F1"/>
    <mergeCell ref="A36:C36"/>
    <mergeCell ref="A32:C32"/>
    <mergeCell ref="A33:C33"/>
    <mergeCell ref="A34:C34"/>
    <mergeCell ref="A35:C35"/>
    <mergeCell ref="A25:C25"/>
    <mergeCell ref="A15:C15"/>
    <mergeCell ref="A16:C16"/>
    <mergeCell ref="A17:C17"/>
    <mergeCell ref="A18:C18"/>
    <mergeCell ref="A19:C19"/>
    <mergeCell ref="A20:C20"/>
    <mergeCell ref="A21:C21"/>
    <mergeCell ref="A28:C28"/>
    <mergeCell ref="A43:F43"/>
    <mergeCell ref="A41:F41"/>
    <mergeCell ref="A42:F42"/>
    <mergeCell ref="E37:F37"/>
    <mergeCell ref="E38:F38"/>
  </mergeCells>
  <phoneticPr fontId="2" type="noConversion"/>
  <conditionalFormatting sqref="A15:F30">
    <cfRule type="expression" dxfId="0" priority="4" stopIfTrue="1">
      <formula>MOD(ROW(),2)=1</formula>
    </cfRule>
  </conditionalFormatting>
  <hyperlinks>
    <hyperlink ref="A6" r:id="rId1"/>
  </hyperlinks>
  <printOptions horizontalCentered="1"/>
  <pageMargins left="0.5" right="0.5" top="0.5" bottom="0.5" header="0.5" footer="0.25"/>
  <pageSetup fitToHeight="0" orientation="portrait" r:id="rId2"/>
  <headerFooter alignWithMargins="0">
    <oddFooter>&amp;L&amp;"Arial,Regular"&amp;8&amp;K01+048Invoice Template © 2013-2014 Vertex42.com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rFacturaElectrónica">
                <anchor moveWithCells="1" sizeWithCells="1">
                  <from>
                    <xdr:col>7</xdr:col>
                    <xdr:colOff>19050</xdr:colOff>
                    <xdr:row>5</xdr:row>
                    <xdr:rowOff>19050</xdr:rowOff>
                  </from>
                  <to>
                    <xdr:col>7</xdr:col>
                    <xdr:colOff>1219200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Factura</vt:lpstr>
      <vt:lpstr>Factura!Print_Area</vt:lpstr>
    </vt:vector>
  </TitlesOfParts>
  <Company>Vertex42 LLC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Invoice Template</dc:title>
  <dc:creator>www.vertex42.com</dc:creator>
  <dc:description>(c) 2010-2014 Vertex42 LLC. All Rights Reserved.</dc:description>
  <cp:lastModifiedBy>amiranda</cp:lastModifiedBy>
  <cp:lastPrinted>2017-12-22T19:51:22Z</cp:lastPrinted>
  <dcterms:created xsi:type="dcterms:W3CDTF">2004-08-16T18:44:14Z</dcterms:created>
  <dcterms:modified xsi:type="dcterms:W3CDTF">2019-03-26T20:15:26Z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2010-2014 Vertex42 LLC</vt:lpwstr>
  </property>
  <property fmtid="{D5CDD505-2E9C-101B-9397-08002B2CF9AE}" pid="3" name="Version">
    <vt:lpwstr>1.3.0</vt:lpwstr>
  </property>
</Properties>
</file>