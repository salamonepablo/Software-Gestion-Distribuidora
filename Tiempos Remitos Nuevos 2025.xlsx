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s Activos\SPCSI FE - S-Ret\"/>
    </mc:Choice>
  </mc:AlternateContent>
  <xr:revisionPtr revIDLastSave="0" documentId="13_ncr:1_{C0D30E12-EB7F-4218-A143-BCBE3D50D275}" xr6:coauthVersionLast="47" xr6:coauthVersionMax="47" xr10:uidLastSave="{00000000-0000-0000-0000-000000000000}"/>
  <bookViews>
    <workbookView xWindow="-120" yWindow="-120" windowWidth="20730" windowHeight="11160" xr2:uid="{85FBBE9B-7307-4007-943E-6E393897C97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H3" i="1"/>
  <c r="E29" i="1"/>
  <c r="E12" i="1"/>
  <c r="E11" i="1"/>
  <c r="E10" i="1"/>
  <c r="E9" i="1"/>
  <c r="E8" i="1"/>
  <c r="E7" i="1"/>
  <c r="E6" i="1"/>
  <c r="E5" i="1"/>
  <c r="E26" i="1" l="1"/>
  <c r="G26" i="1" s="1"/>
</calcChain>
</file>

<file path=xl/sharedStrings.xml><?xml version="1.0" encoding="utf-8"?>
<sst xmlns="http://schemas.openxmlformats.org/spreadsheetml/2006/main" count="24" uniqueCount="18">
  <si>
    <t>Tiempos Remitos nuevos 2025</t>
  </si>
  <si>
    <t>Cotización del día</t>
  </si>
  <si>
    <t>TOTAL:</t>
  </si>
  <si>
    <t>Prioridades:</t>
  </si>
  <si>
    <t>Nro de recibos automáticos</t>
  </si>
  <si>
    <t>Campo en remitos nuevos para escribir texto</t>
  </si>
  <si>
    <t>Modificaciones en tablas al 29/06/2025</t>
  </si>
  <si>
    <t>Agregar en ultimos números el campo sucursal</t>
  </si>
  <si>
    <t>cambiar el indice</t>
  </si>
  <si>
    <t>llenar todos los campos sucursales</t>
  </si>
  <si>
    <t>generar un registro para tPagos y tRecibos con sucursal 5 y 2</t>
  </si>
  <si>
    <t>Agregar tablas recibosC y recibosD</t>
  </si>
  <si>
    <t>Falta agregar el campo sucursal a la tabla PagosC y PagosD</t>
  </si>
  <si>
    <t>Falta agregar el campo sucursal a la tabla RecibosC y RecibosD</t>
  </si>
  <si>
    <t>Ok</t>
  </si>
  <si>
    <t>En generar remito desde la factura ver como traer el ultimo nro de remito por sucursal</t>
  </si>
  <si>
    <t>hacer el "enter" en sucursal que vaya a guardar</t>
  </si>
  <si>
    <t>agrandar campo "saldo actualizado" en Pago Facturas y Pago Facturas desde facturas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</si>
</sst>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USD]\ * #,##0.00_-;\-[$USD]\ * #,##0.00_-;_-[$USD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14" fontId="0" fillId="0" borderId="0" xfId="0" applyNumberFormat="1"/>
    <xf numFmtId="44" fontId="0" fillId="0" borderId="0" xfId="1" applyFont="1"/>
    <xf numFmtId="164" fontId="0" fillId="0" borderId="0" xfId="1" applyNumberFormat="1" applyFont="1"/>
    <xf numFmtId="44" fontId="0" fillId="0" borderId="0" xfId="0" applyNumberFormat="1"/>
    <xf numFmtId="2" fontId="0" fillId="0" borderId="0" xfId="0" applyNumberFormat="1"/>
    <xf numFmtId="0" fontId="2" fillId="0" borderId="0" xfId="0" applyFont="1"/>
    <xf numFmtId="4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114300</xdr:rowOff>
    </xdr:from>
    <xdr:to>
      <xdr:col>6</xdr:col>
      <xdr:colOff>647068</xdr:colOff>
      <xdr:row>14</xdr:row>
      <xdr:rowOff>85443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C7EC15-525A-A355-1CA1-5197BFBB8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95300"/>
          <a:ext cx="5057143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15</xdr:row>
      <xdr:rowOff>19050</xdr:rowOff>
    </xdr:from>
    <xdr:to>
      <xdr:col>5</xdr:col>
      <xdr:colOff>294789</xdr:colOff>
      <xdr:row>23</xdr:row>
      <xdr:rowOff>9336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27DCFB-CC2E-C1B2-818C-24138C41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876550"/>
          <a:ext cx="3885714" cy="1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B4C0-B428-4313-ADAA-888ADD14607B}">
  <sheetPr>
    <pageSetUpPr fitToPage="1"/>
  </sheetPr>
  <dimension ref="B1:I29"/>
  <sheetViews>
    <sheetView tabSelected="1" topLeftCell="A13" workbookViewId="0">
      <selection activeCell="F27" sqref="F27"/>
    </sheetView>
  </sheetViews>
  <sheetFormatPr baseColWidth="10" defaultRowHeight="15" x14ac:dyDescent="0.25"/>
  <cols>
    <col min="2" max="2" width="11.42578125" style="2"/>
    <col min="5" max="5" width="10.140625" customWidth="1"/>
    <col min="7" max="7" width="13" bestFit="1" customWidth="1"/>
    <col min="8" max="8" width="16.5703125" bestFit="1" customWidth="1"/>
  </cols>
  <sheetData>
    <row r="1" spans="2:9" x14ac:dyDescent="0.25">
      <c r="H1" t="s">
        <v>1</v>
      </c>
    </row>
    <row r="2" spans="2:9" x14ac:dyDescent="0.25">
      <c r="G2" s="4">
        <v>20</v>
      </c>
      <c r="H2" s="3">
        <v>1200</v>
      </c>
    </row>
    <row r="3" spans="2:9" x14ac:dyDescent="0.25">
      <c r="C3" t="s">
        <v>0</v>
      </c>
      <c r="H3" s="3">
        <f>+H2*G2</f>
        <v>24000</v>
      </c>
    </row>
    <row r="4" spans="2:9" x14ac:dyDescent="0.25">
      <c r="G4" s="5"/>
    </row>
    <row r="5" spans="2:9" x14ac:dyDescent="0.25">
      <c r="B5" s="2">
        <v>45814</v>
      </c>
      <c r="C5" s="1">
        <v>0.90625</v>
      </c>
      <c r="D5" s="1">
        <v>0.9375</v>
      </c>
      <c r="E5" s="1">
        <f>+D5-C5</f>
        <v>3.125E-2</v>
      </c>
    </row>
    <row r="6" spans="2:9" x14ac:dyDescent="0.25">
      <c r="B6" s="2">
        <v>45815</v>
      </c>
      <c r="C6" s="1">
        <v>0.79166666666666663</v>
      </c>
      <c r="D6" s="1">
        <v>0.84375</v>
      </c>
      <c r="E6" s="1">
        <f>+D6-C6</f>
        <v>5.208333333333337E-2</v>
      </c>
      <c r="I6" s="7" t="s">
        <v>3</v>
      </c>
    </row>
    <row r="7" spans="2:9" x14ac:dyDescent="0.25">
      <c r="B7" s="2">
        <v>45818</v>
      </c>
      <c r="C7" s="1">
        <v>0.80555555555555558</v>
      </c>
      <c r="D7" s="1">
        <v>0.84722222222222221</v>
      </c>
      <c r="E7" s="1">
        <f>+D7-C7</f>
        <v>4.166666666666663E-2</v>
      </c>
    </row>
    <row r="8" spans="2:9" x14ac:dyDescent="0.25">
      <c r="B8" s="2">
        <v>45819</v>
      </c>
      <c r="C8" s="1">
        <v>0.45833333333333331</v>
      </c>
      <c r="D8" s="1">
        <v>0.54166666666666663</v>
      </c>
      <c r="E8" s="1">
        <f t="shared" ref="E8:E21" si="0">+D8-C8</f>
        <v>8.3333333333333315E-2</v>
      </c>
      <c r="I8" t="s">
        <v>4</v>
      </c>
    </row>
    <row r="9" spans="2:9" x14ac:dyDescent="0.25">
      <c r="B9" s="2">
        <v>45820</v>
      </c>
      <c r="C9" s="1">
        <v>0.43402777777777779</v>
      </c>
      <c r="D9" s="1">
        <v>0.47569444444444442</v>
      </c>
      <c r="E9" s="1">
        <f t="shared" si="0"/>
        <v>4.166666666666663E-2</v>
      </c>
      <c r="I9" t="s">
        <v>5</v>
      </c>
    </row>
    <row r="10" spans="2:9" x14ac:dyDescent="0.25">
      <c r="B10" s="2">
        <v>45822</v>
      </c>
      <c r="C10" s="1">
        <v>0.65972222222222221</v>
      </c>
      <c r="D10" s="1">
        <v>0.75</v>
      </c>
      <c r="E10" s="1">
        <f t="shared" si="0"/>
        <v>9.027777777777779E-2</v>
      </c>
    </row>
    <row r="11" spans="2:9" x14ac:dyDescent="0.25">
      <c r="B11" s="2">
        <v>45824</v>
      </c>
      <c r="C11" s="1">
        <v>0.51041666666666663</v>
      </c>
      <c r="D11" s="1">
        <v>0.58333333333333337</v>
      </c>
      <c r="E11" s="1">
        <f t="shared" si="0"/>
        <v>7.2916666666666741E-2</v>
      </c>
    </row>
    <row r="12" spans="2:9" x14ac:dyDescent="0.25">
      <c r="B12" s="2">
        <v>45824</v>
      </c>
      <c r="C12" s="1">
        <v>0.625</v>
      </c>
      <c r="D12" s="1">
        <v>0.71875</v>
      </c>
      <c r="E12" s="1">
        <f t="shared" si="0"/>
        <v>9.375E-2</v>
      </c>
      <c r="I12" s="7" t="s">
        <v>6</v>
      </c>
    </row>
    <row r="13" spans="2:9" x14ac:dyDescent="0.25">
      <c r="B13" s="2">
        <v>45826</v>
      </c>
      <c r="C13" s="1">
        <v>0.84166666666666667</v>
      </c>
      <c r="D13" s="1">
        <v>0.8833333333333333</v>
      </c>
      <c r="E13" s="1">
        <f t="shared" si="0"/>
        <v>4.166666666666663E-2</v>
      </c>
      <c r="H13" t="s">
        <v>14</v>
      </c>
      <c r="I13" t="s">
        <v>7</v>
      </c>
    </row>
    <row r="14" spans="2:9" x14ac:dyDescent="0.25">
      <c r="B14" s="2">
        <v>45830</v>
      </c>
      <c r="C14" s="1">
        <v>0.81944444444444442</v>
      </c>
      <c r="D14" s="1">
        <v>0.91666666666666663</v>
      </c>
      <c r="E14" s="1">
        <f t="shared" si="0"/>
        <v>9.722222222222221E-2</v>
      </c>
      <c r="H14" t="s">
        <v>14</v>
      </c>
      <c r="I14" t="s">
        <v>8</v>
      </c>
    </row>
    <row r="15" spans="2:9" x14ac:dyDescent="0.25">
      <c r="B15" s="2">
        <v>45831</v>
      </c>
      <c r="C15" s="1">
        <v>0.83333333333333337</v>
      </c>
      <c r="D15" s="1">
        <v>0.89583333333333337</v>
      </c>
      <c r="E15" s="1">
        <f t="shared" si="0"/>
        <v>6.25E-2</v>
      </c>
      <c r="H15" t="s">
        <v>14</v>
      </c>
      <c r="I15" t="s">
        <v>9</v>
      </c>
    </row>
    <row r="16" spans="2:9" x14ac:dyDescent="0.25">
      <c r="B16" s="2">
        <v>45832</v>
      </c>
      <c r="C16" s="1">
        <v>0.8125</v>
      </c>
      <c r="D16" s="1">
        <v>0.86458333333333337</v>
      </c>
      <c r="E16" s="1">
        <f t="shared" si="0"/>
        <v>5.208333333333337E-2</v>
      </c>
      <c r="H16" t="s">
        <v>14</v>
      </c>
      <c r="I16" t="s">
        <v>10</v>
      </c>
    </row>
    <row r="17" spans="2:9" x14ac:dyDescent="0.25">
      <c r="B17" s="2">
        <v>45834</v>
      </c>
      <c r="C17" s="1">
        <v>0.78472222222222221</v>
      </c>
      <c r="D17" s="1">
        <v>0.80208333333333337</v>
      </c>
      <c r="E17" s="1">
        <f t="shared" si="0"/>
        <v>1.736111111111116E-2</v>
      </c>
    </row>
    <row r="18" spans="2:9" x14ac:dyDescent="0.25">
      <c r="B18" s="2">
        <v>45837</v>
      </c>
      <c r="C18" s="1">
        <v>0.75</v>
      </c>
      <c r="D18" s="1">
        <v>0.82638888888888884</v>
      </c>
      <c r="E18" s="1">
        <f t="shared" si="0"/>
        <v>7.638888888888884E-2</v>
      </c>
      <c r="H18" t="s">
        <v>14</v>
      </c>
      <c r="I18" t="s">
        <v>11</v>
      </c>
    </row>
    <row r="19" spans="2:9" x14ac:dyDescent="0.25">
      <c r="B19" s="2">
        <v>45837</v>
      </c>
      <c r="C19" s="1">
        <v>0.84375</v>
      </c>
      <c r="D19" s="1">
        <v>0.92013888888888884</v>
      </c>
      <c r="E19" s="1">
        <f t="shared" si="0"/>
        <v>7.638888888888884E-2</v>
      </c>
    </row>
    <row r="20" spans="2:9" x14ac:dyDescent="0.25">
      <c r="B20" s="2">
        <v>45839</v>
      </c>
      <c r="C20" s="1">
        <v>0.79166666666666663</v>
      </c>
      <c r="D20" s="1">
        <v>0.875</v>
      </c>
      <c r="E20" s="1">
        <f t="shared" si="0"/>
        <v>8.333333333333337E-2</v>
      </c>
      <c r="H20" t="s">
        <v>14</v>
      </c>
      <c r="I20" t="s">
        <v>12</v>
      </c>
    </row>
    <row r="21" spans="2:9" x14ac:dyDescent="0.25">
      <c r="B21" s="2">
        <v>45839</v>
      </c>
      <c r="C21" s="1">
        <v>0.90972222222222221</v>
      </c>
      <c r="D21" s="1">
        <v>0.94791666666666663</v>
      </c>
      <c r="E21" s="1">
        <f t="shared" si="0"/>
        <v>3.819444444444442E-2</v>
      </c>
      <c r="H21" t="s">
        <v>14</v>
      </c>
      <c r="I21" t="s">
        <v>13</v>
      </c>
    </row>
    <row r="22" spans="2:9" x14ac:dyDescent="0.25">
      <c r="C22" s="1"/>
      <c r="D22" s="1"/>
      <c r="E22" s="1"/>
    </row>
    <row r="23" spans="2:9" x14ac:dyDescent="0.25">
      <c r="C23" s="1"/>
      <c r="D23" s="1"/>
      <c r="E23" s="1"/>
      <c r="I23" t="s">
        <v>15</v>
      </c>
    </row>
    <row r="24" spans="2:9" x14ac:dyDescent="0.25">
      <c r="C24" s="1"/>
      <c r="D24" s="1"/>
      <c r="E24" s="1"/>
      <c r="I24" t="s">
        <v>16</v>
      </c>
    </row>
    <row r="25" spans="2:9" x14ac:dyDescent="0.25">
      <c r="C25" s="1"/>
      <c r="D25" s="1"/>
      <c r="E25" s="1"/>
      <c r="I25" t="s">
        <v>17</v>
      </c>
    </row>
    <row r="26" spans="2:9" x14ac:dyDescent="0.25">
      <c r="D26" t="s">
        <v>2</v>
      </c>
      <c r="E26" s="8">
        <f>SUM(E5:E24)</f>
        <v>1.0520833333333333</v>
      </c>
      <c r="F26">
        <v>25.25</v>
      </c>
      <c r="G26" s="5">
        <f>+F26*H3</f>
        <v>606000</v>
      </c>
    </row>
    <row r="28" spans="2:9" x14ac:dyDescent="0.25">
      <c r="D28">
        <v>60</v>
      </c>
      <c r="E28">
        <v>1</v>
      </c>
    </row>
    <row r="29" spans="2:9" x14ac:dyDescent="0.25">
      <c r="D29">
        <v>10</v>
      </c>
      <c r="E29" s="6">
        <f>+D29*E28/D28</f>
        <v>0.16666666666666666</v>
      </c>
    </row>
  </sheetData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56FD-EE55-4EF6-AC95-0F7018F3E75B}">
  <dimension ref="A1"/>
  <sheetViews>
    <sheetView topLeftCell="A3" workbookViewId="0">
      <selection activeCell="K8" sqref="K8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Salamone</dc:creator>
  <cp:lastModifiedBy>Pablo Salamone</cp:lastModifiedBy>
  <cp:lastPrinted>2025-06-29T15:56:30Z</cp:lastPrinted>
  <dcterms:created xsi:type="dcterms:W3CDTF">2025-06-07T00:56:31Z</dcterms:created>
  <dcterms:modified xsi:type="dcterms:W3CDTF">2025-07-09T01:35:35Z</dcterms:modified>
</cp:coreProperties>
</file>